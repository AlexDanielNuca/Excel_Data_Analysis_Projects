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ca\Desktop\Data_Portofolio\"/>
    </mc:Choice>
  </mc:AlternateContent>
  <xr:revisionPtr revIDLastSave="0" documentId="13_ncr:1_{D9682048-B4C9-4882-90E9-6AC303712652}" xr6:coauthVersionLast="47" xr6:coauthVersionMax="47" xr10:uidLastSave="{00000000-0000-0000-0000-000000000000}"/>
  <bookViews>
    <workbookView xWindow="2400" yWindow="0" windowWidth="19332" windowHeight="12336" xr2:uid="{77F39406-FB61-4226-9731-AF54AD7BA42B}"/>
  </bookViews>
  <sheets>
    <sheet name="Foai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</calcChain>
</file>

<file path=xl/sharedStrings.xml><?xml version="1.0" encoding="utf-8"?>
<sst xmlns="http://schemas.openxmlformats.org/spreadsheetml/2006/main" count="39" uniqueCount="11">
  <si>
    <t>Date</t>
  </si>
  <si>
    <t>Region</t>
  </si>
  <si>
    <t>Sales_Rep</t>
  </si>
  <si>
    <t>Target_Budget</t>
  </si>
  <si>
    <t>Actual_Sales</t>
  </si>
  <si>
    <t>North</t>
  </si>
  <si>
    <t>Sarah</t>
  </si>
  <si>
    <t>South</t>
  </si>
  <si>
    <t>Mike</t>
  </si>
  <si>
    <t>Variance</t>
  </si>
  <si>
    <t>Variance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</si>
</sst>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15" fontId="2" fillId="0" borderId="2" xfId="0" applyNumberFormat="1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15" fontId="2" fillId="0" borderId="7" xfId="0" applyNumberFormat="1" applyFont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9" fontId="3" fillId="0" borderId="5" xfId="1" applyFont="1" applyBorder="1" applyAlignment="1">
      <alignment horizontal="center" vertical="center" wrapText="1" readingOrder="1"/>
    </xf>
    <xf numFmtId="9" fontId="2" fillId="0" borderId="5" xfId="1" applyFont="1" applyBorder="1" applyAlignment="1">
      <alignment horizontal="center" vertical="center" wrapText="1" readingOrder="1"/>
    </xf>
    <xf numFmtId="9" fontId="2" fillId="0" borderId="1" xfId="1" applyFont="1" applyBorder="1" applyAlignment="1">
      <alignment horizontal="center" vertical="center" wrapText="1" readingOrder="1"/>
    </xf>
    <xf numFmtId="9" fontId="2" fillId="0" borderId="8" xfId="1" applyFont="1" applyBorder="1" applyAlignment="1">
      <alignment horizontal="center" vertical="center" wrapText="1" readingOrder="1"/>
    </xf>
  </cellXfs>
  <cellStyles count="2">
    <cellStyle name="Normal" xfId="0" builtinId="0"/>
    <cellStyle name="Procent" xfId="1" builtinId="5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20" formatCode="d\-mmm\-yy"/>
      <alignment horizontal="center" vertical="center" textRotation="0" wrapText="1" indent="0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Foaie1!$D$1</c:f>
              <c:strCache>
                <c:ptCount val="1"/>
                <c:pt idx="0">
                  <c:v>Target_Budget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Foaie1!$A$2:$C$17</c:f>
              <c:multiLvlStrCache>
                <c:ptCount val="16"/>
                <c:lvl>
                  <c:pt idx="0">
                    <c:v>Sarah</c:v>
                  </c:pt>
                  <c:pt idx="1">
                    <c:v>Mike</c:v>
                  </c:pt>
                  <c:pt idx="2">
                    <c:v>Sarah</c:v>
                  </c:pt>
                  <c:pt idx="3">
                    <c:v>Mike</c:v>
                  </c:pt>
                  <c:pt idx="4">
                    <c:v>Sarah</c:v>
                  </c:pt>
                  <c:pt idx="5">
                    <c:v>Mike</c:v>
                  </c:pt>
                  <c:pt idx="6">
                    <c:v>Sarah</c:v>
                  </c:pt>
                  <c:pt idx="7">
                    <c:v>Mike</c:v>
                  </c:pt>
                  <c:pt idx="8">
                    <c:v>Sarah</c:v>
                  </c:pt>
                  <c:pt idx="9">
                    <c:v>Mike</c:v>
                  </c:pt>
                  <c:pt idx="10">
                    <c:v>Sarah</c:v>
                  </c:pt>
                  <c:pt idx="11">
                    <c:v>Mike</c:v>
                  </c:pt>
                  <c:pt idx="12">
                    <c:v>Sarah</c:v>
                  </c:pt>
                  <c:pt idx="13">
                    <c:v>Mike</c:v>
                  </c:pt>
                  <c:pt idx="14">
                    <c:v>Sarah</c:v>
                  </c:pt>
                  <c:pt idx="15">
                    <c:v>Mike</c:v>
                  </c:pt>
                </c:lvl>
                <c:lvl>
                  <c:pt idx="0">
                    <c:v>North</c:v>
                  </c:pt>
                  <c:pt idx="1">
                    <c:v>South</c:v>
                  </c:pt>
                  <c:pt idx="2">
                    <c:v>North</c:v>
                  </c:pt>
                  <c:pt idx="3">
                    <c:v>South</c:v>
                  </c:pt>
                  <c:pt idx="4">
                    <c:v>North</c:v>
                  </c:pt>
                  <c:pt idx="5">
                    <c:v>South</c:v>
                  </c:pt>
                  <c:pt idx="6">
                    <c:v>North</c:v>
                  </c:pt>
                  <c:pt idx="7">
                    <c:v>South</c:v>
                  </c:pt>
                  <c:pt idx="8">
                    <c:v>North</c:v>
                  </c:pt>
                  <c:pt idx="9">
                    <c:v>South</c:v>
                  </c:pt>
                  <c:pt idx="10">
                    <c:v>North</c:v>
                  </c:pt>
                  <c:pt idx="11">
                    <c:v>South</c:v>
                  </c:pt>
                  <c:pt idx="12">
                    <c:v>North</c:v>
                  </c:pt>
                  <c:pt idx="13">
                    <c:v>South</c:v>
                  </c:pt>
                  <c:pt idx="14">
                    <c:v>North</c:v>
                  </c:pt>
                  <c:pt idx="15">
                    <c:v>South</c:v>
                  </c:pt>
                </c:lvl>
                <c:lvl>
                  <c:pt idx="0">
                    <c:v>1-Jan-24</c:v>
                  </c:pt>
                  <c:pt idx="1">
                    <c:v>1-Jan-24</c:v>
                  </c:pt>
                  <c:pt idx="2">
                    <c:v>1-Feb-24</c:v>
                  </c:pt>
                  <c:pt idx="3">
                    <c:v>1-Feb-24</c:v>
                  </c:pt>
                  <c:pt idx="4">
                    <c:v>1-Mar-24</c:v>
                  </c:pt>
                  <c:pt idx="5">
                    <c:v>1-Mar-24</c:v>
                  </c:pt>
                  <c:pt idx="6">
                    <c:v>1-Apr-24</c:v>
                  </c:pt>
                  <c:pt idx="7">
                    <c:v>1-Apr-24</c:v>
                  </c:pt>
                  <c:pt idx="8">
                    <c:v>1-May-24</c:v>
                  </c:pt>
                  <c:pt idx="9">
                    <c:v>1-May-24</c:v>
                  </c:pt>
                  <c:pt idx="10">
                    <c:v>1-Jun-24</c:v>
                  </c:pt>
                  <c:pt idx="11">
                    <c:v>1-Jun-24</c:v>
                  </c:pt>
                  <c:pt idx="12">
                    <c:v>1-Jul-24</c:v>
                  </c:pt>
                  <c:pt idx="13">
                    <c:v>1-Jul-24</c:v>
                  </c:pt>
                  <c:pt idx="14">
                    <c:v>1-Aug-24</c:v>
                  </c:pt>
                  <c:pt idx="15">
                    <c:v>1-Aug-24</c:v>
                  </c:pt>
                </c:lvl>
              </c:multiLvlStrCache>
            </c:multiLvlStrRef>
          </c:cat>
          <c:val>
            <c:numRef>
              <c:f>Foaie1!$D$2:$D$17</c:f>
              <c:numCache>
                <c:formatCode>General</c:formatCode>
                <c:ptCount val="16"/>
                <c:pt idx="0">
                  <c:v>10000</c:v>
                </c:pt>
                <c:pt idx="1">
                  <c:v>8000</c:v>
                </c:pt>
                <c:pt idx="2">
                  <c:v>10500</c:v>
                </c:pt>
                <c:pt idx="3">
                  <c:v>8500</c:v>
                </c:pt>
                <c:pt idx="4">
                  <c:v>11000</c:v>
                </c:pt>
                <c:pt idx="5">
                  <c:v>9000</c:v>
                </c:pt>
                <c:pt idx="6">
                  <c:v>11500</c:v>
                </c:pt>
                <c:pt idx="7">
                  <c:v>9500</c:v>
                </c:pt>
                <c:pt idx="8">
                  <c:v>12000</c:v>
                </c:pt>
                <c:pt idx="9">
                  <c:v>10000</c:v>
                </c:pt>
                <c:pt idx="10">
                  <c:v>12500</c:v>
                </c:pt>
                <c:pt idx="11">
                  <c:v>10500</c:v>
                </c:pt>
                <c:pt idx="12">
                  <c:v>13000</c:v>
                </c:pt>
                <c:pt idx="13">
                  <c:v>11000</c:v>
                </c:pt>
                <c:pt idx="14">
                  <c:v>13500</c:v>
                </c:pt>
                <c:pt idx="15">
                  <c:v>11500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00-4954-9E0C-1119722D5455}"/>
            </c:ext>
          </c:extLst>
        </c:ser>
        <c:ser>
          <c:idx val="1"/>
          <c:order val="1"/>
          <c:tx>
            <c:strRef>
              <c:f>Foaie1!$E$1</c:f>
              <c:strCache>
                <c:ptCount val="1"/>
                <c:pt idx="0">
                  <c:v>Actual_Sales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Foaie1!$A$2:$C$17</c:f>
              <c:multiLvlStrCache>
                <c:ptCount val="16"/>
                <c:lvl>
                  <c:pt idx="0">
                    <c:v>Sarah</c:v>
                  </c:pt>
                  <c:pt idx="1">
                    <c:v>Mike</c:v>
                  </c:pt>
                  <c:pt idx="2">
                    <c:v>Sarah</c:v>
                  </c:pt>
                  <c:pt idx="3">
                    <c:v>Mike</c:v>
                  </c:pt>
                  <c:pt idx="4">
                    <c:v>Sarah</c:v>
                  </c:pt>
                  <c:pt idx="5">
                    <c:v>Mike</c:v>
                  </c:pt>
                  <c:pt idx="6">
                    <c:v>Sarah</c:v>
                  </c:pt>
                  <c:pt idx="7">
                    <c:v>Mike</c:v>
                  </c:pt>
                  <c:pt idx="8">
                    <c:v>Sarah</c:v>
                  </c:pt>
                  <c:pt idx="9">
                    <c:v>Mike</c:v>
                  </c:pt>
                  <c:pt idx="10">
                    <c:v>Sarah</c:v>
                  </c:pt>
                  <c:pt idx="11">
                    <c:v>Mike</c:v>
                  </c:pt>
                  <c:pt idx="12">
                    <c:v>Sarah</c:v>
                  </c:pt>
                  <c:pt idx="13">
                    <c:v>Mike</c:v>
                  </c:pt>
                  <c:pt idx="14">
                    <c:v>Sarah</c:v>
                  </c:pt>
                  <c:pt idx="15">
                    <c:v>Mike</c:v>
                  </c:pt>
                </c:lvl>
                <c:lvl>
                  <c:pt idx="0">
                    <c:v>North</c:v>
                  </c:pt>
                  <c:pt idx="1">
                    <c:v>South</c:v>
                  </c:pt>
                  <c:pt idx="2">
                    <c:v>North</c:v>
                  </c:pt>
                  <c:pt idx="3">
                    <c:v>South</c:v>
                  </c:pt>
                  <c:pt idx="4">
                    <c:v>North</c:v>
                  </c:pt>
                  <c:pt idx="5">
                    <c:v>South</c:v>
                  </c:pt>
                  <c:pt idx="6">
                    <c:v>North</c:v>
                  </c:pt>
                  <c:pt idx="7">
                    <c:v>South</c:v>
                  </c:pt>
                  <c:pt idx="8">
                    <c:v>North</c:v>
                  </c:pt>
                  <c:pt idx="9">
                    <c:v>South</c:v>
                  </c:pt>
                  <c:pt idx="10">
                    <c:v>North</c:v>
                  </c:pt>
                  <c:pt idx="11">
                    <c:v>South</c:v>
                  </c:pt>
                  <c:pt idx="12">
                    <c:v>North</c:v>
                  </c:pt>
                  <c:pt idx="13">
                    <c:v>South</c:v>
                  </c:pt>
                  <c:pt idx="14">
                    <c:v>North</c:v>
                  </c:pt>
                  <c:pt idx="15">
                    <c:v>South</c:v>
                  </c:pt>
                </c:lvl>
                <c:lvl>
                  <c:pt idx="0">
                    <c:v>1-Jan-24</c:v>
                  </c:pt>
                  <c:pt idx="1">
                    <c:v>1-Jan-24</c:v>
                  </c:pt>
                  <c:pt idx="2">
                    <c:v>1-Feb-24</c:v>
                  </c:pt>
                  <c:pt idx="3">
                    <c:v>1-Feb-24</c:v>
                  </c:pt>
                  <c:pt idx="4">
                    <c:v>1-Mar-24</c:v>
                  </c:pt>
                  <c:pt idx="5">
                    <c:v>1-Mar-24</c:v>
                  </c:pt>
                  <c:pt idx="6">
                    <c:v>1-Apr-24</c:v>
                  </c:pt>
                  <c:pt idx="7">
                    <c:v>1-Apr-24</c:v>
                  </c:pt>
                  <c:pt idx="8">
                    <c:v>1-May-24</c:v>
                  </c:pt>
                  <c:pt idx="9">
                    <c:v>1-May-24</c:v>
                  </c:pt>
                  <c:pt idx="10">
                    <c:v>1-Jun-24</c:v>
                  </c:pt>
                  <c:pt idx="11">
                    <c:v>1-Jun-24</c:v>
                  </c:pt>
                  <c:pt idx="12">
                    <c:v>1-Jul-24</c:v>
                  </c:pt>
                  <c:pt idx="13">
                    <c:v>1-Jul-24</c:v>
                  </c:pt>
                  <c:pt idx="14">
                    <c:v>1-Aug-24</c:v>
                  </c:pt>
                  <c:pt idx="15">
                    <c:v>1-Aug-24</c:v>
                  </c:pt>
                </c:lvl>
              </c:multiLvlStrCache>
            </c:multiLvlStrRef>
          </c:cat>
          <c:val>
            <c:numRef>
              <c:f>Foaie1!$E$2:$E$17</c:f>
              <c:numCache>
                <c:formatCode>General</c:formatCode>
                <c:ptCount val="16"/>
                <c:pt idx="0">
                  <c:v>9500</c:v>
                </c:pt>
                <c:pt idx="1">
                  <c:v>8200</c:v>
                </c:pt>
                <c:pt idx="2">
                  <c:v>10800</c:v>
                </c:pt>
                <c:pt idx="3">
                  <c:v>8000</c:v>
                </c:pt>
                <c:pt idx="4">
                  <c:v>11500</c:v>
                </c:pt>
                <c:pt idx="5">
                  <c:v>9200</c:v>
                </c:pt>
                <c:pt idx="6">
                  <c:v>11000</c:v>
                </c:pt>
                <c:pt idx="7">
                  <c:v>9800</c:v>
                </c:pt>
                <c:pt idx="8">
                  <c:v>12500</c:v>
                </c:pt>
                <c:pt idx="9">
                  <c:v>9000</c:v>
                </c:pt>
                <c:pt idx="10">
                  <c:v>13000</c:v>
                </c:pt>
                <c:pt idx="11">
                  <c:v>11000</c:v>
                </c:pt>
                <c:pt idx="12">
                  <c:v>12800</c:v>
                </c:pt>
                <c:pt idx="13">
                  <c:v>11500</c:v>
                </c:pt>
                <c:pt idx="14">
                  <c:v>14000</c:v>
                </c:pt>
                <c:pt idx="15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00-4954-9E0C-1119722D5455}"/>
            </c:ext>
          </c:extLst>
        </c:ser>
        <c:ser>
          <c:idx val="3"/>
          <c:order val="2"/>
          <c:tx>
            <c:strRef>
              <c:f>Foaie1!$G$1</c:f>
              <c:strCache>
                <c:ptCount val="1"/>
                <c:pt idx="0">
                  <c:v>Variance 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Foaie1!$A$2:$C$17</c:f>
              <c:multiLvlStrCache>
                <c:ptCount val="16"/>
                <c:lvl>
                  <c:pt idx="0">
                    <c:v>Sarah</c:v>
                  </c:pt>
                  <c:pt idx="1">
                    <c:v>Mike</c:v>
                  </c:pt>
                  <c:pt idx="2">
                    <c:v>Sarah</c:v>
                  </c:pt>
                  <c:pt idx="3">
                    <c:v>Mike</c:v>
                  </c:pt>
                  <c:pt idx="4">
                    <c:v>Sarah</c:v>
                  </c:pt>
                  <c:pt idx="5">
                    <c:v>Mike</c:v>
                  </c:pt>
                  <c:pt idx="6">
                    <c:v>Sarah</c:v>
                  </c:pt>
                  <c:pt idx="7">
                    <c:v>Mike</c:v>
                  </c:pt>
                  <c:pt idx="8">
                    <c:v>Sarah</c:v>
                  </c:pt>
                  <c:pt idx="9">
                    <c:v>Mike</c:v>
                  </c:pt>
                  <c:pt idx="10">
                    <c:v>Sarah</c:v>
                  </c:pt>
                  <c:pt idx="11">
                    <c:v>Mike</c:v>
                  </c:pt>
                  <c:pt idx="12">
                    <c:v>Sarah</c:v>
                  </c:pt>
                  <c:pt idx="13">
                    <c:v>Mike</c:v>
                  </c:pt>
                  <c:pt idx="14">
                    <c:v>Sarah</c:v>
                  </c:pt>
                  <c:pt idx="15">
                    <c:v>Mike</c:v>
                  </c:pt>
                </c:lvl>
                <c:lvl>
                  <c:pt idx="0">
                    <c:v>North</c:v>
                  </c:pt>
                  <c:pt idx="1">
                    <c:v>South</c:v>
                  </c:pt>
                  <c:pt idx="2">
                    <c:v>North</c:v>
                  </c:pt>
                  <c:pt idx="3">
                    <c:v>South</c:v>
                  </c:pt>
                  <c:pt idx="4">
                    <c:v>North</c:v>
                  </c:pt>
                  <c:pt idx="5">
                    <c:v>South</c:v>
                  </c:pt>
                  <c:pt idx="6">
                    <c:v>North</c:v>
                  </c:pt>
                  <c:pt idx="7">
                    <c:v>South</c:v>
                  </c:pt>
                  <c:pt idx="8">
                    <c:v>North</c:v>
                  </c:pt>
                  <c:pt idx="9">
                    <c:v>South</c:v>
                  </c:pt>
                  <c:pt idx="10">
                    <c:v>North</c:v>
                  </c:pt>
                  <c:pt idx="11">
                    <c:v>South</c:v>
                  </c:pt>
                  <c:pt idx="12">
                    <c:v>North</c:v>
                  </c:pt>
                  <c:pt idx="13">
                    <c:v>South</c:v>
                  </c:pt>
                  <c:pt idx="14">
                    <c:v>North</c:v>
                  </c:pt>
                  <c:pt idx="15">
                    <c:v>South</c:v>
                  </c:pt>
                </c:lvl>
                <c:lvl>
                  <c:pt idx="0">
                    <c:v>1-Jan-24</c:v>
                  </c:pt>
                  <c:pt idx="1">
                    <c:v>1-Jan-24</c:v>
                  </c:pt>
                  <c:pt idx="2">
                    <c:v>1-Feb-24</c:v>
                  </c:pt>
                  <c:pt idx="3">
                    <c:v>1-Feb-24</c:v>
                  </c:pt>
                  <c:pt idx="4">
                    <c:v>1-Mar-24</c:v>
                  </c:pt>
                  <c:pt idx="5">
                    <c:v>1-Mar-24</c:v>
                  </c:pt>
                  <c:pt idx="6">
                    <c:v>1-Apr-24</c:v>
                  </c:pt>
                  <c:pt idx="7">
                    <c:v>1-Apr-24</c:v>
                  </c:pt>
                  <c:pt idx="8">
                    <c:v>1-May-24</c:v>
                  </c:pt>
                  <c:pt idx="9">
                    <c:v>1-May-24</c:v>
                  </c:pt>
                  <c:pt idx="10">
                    <c:v>1-Jun-24</c:v>
                  </c:pt>
                  <c:pt idx="11">
                    <c:v>1-Jun-24</c:v>
                  </c:pt>
                  <c:pt idx="12">
                    <c:v>1-Jul-24</c:v>
                  </c:pt>
                  <c:pt idx="13">
                    <c:v>1-Jul-24</c:v>
                  </c:pt>
                  <c:pt idx="14">
                    <c:v>1-Aug-24</c:v>
                  </c:pt>
                  <c:pt idx="15">
                    <c:v>1-Aug-24</c:v>
                  </c:pt>
                </c:lvl>
              </c:multiLvlStrCache>
            </c:multiLvlStrRef>
          </c:cat>
          <c:val>
            <c:numRef>
              <c:f>Foaie1!$G$2:$G$17</c:f>
              <c:numCache>
                <c:formatCode>0%</c:formatCode>
                <c:ptCount val="16"/>
                <c:pt idx="0">
                  <c:v>-0.05</c:v>
                </c:pt>
                <c:pt idx="1">
                  <c:v>2.5000000000000001E-2</c:v>
                </c:pt>
                <c:pt idx="2">
                  <c:v>2.8571428571428571E-2</c:v>
                </c:pt>
                <c:pt idx="3">
                  <c:v>-5.8823529411764705E-2</c:v>
                </c:pt>
                <c:pt idx="4">
                  <c:v>4.5454545454545456E-2</c:v>
                </c:pt>
                <c:pt idx="5">
                  <c:v>2.2222222222222223E-2</c:v>
                </c:pt>
                <c:pt idx="6">
                  <c:v>-4.3478260869565216E-2</c:v>
                </c:pt>
                <c:pt idx="7">
                  <c:v>3.1578947368421054E-2</c:v>
                </c:pt>
                <c:pt idx="8">
                  <c:v>4.1666666666666664E-2</c:v>
                </c:pt>
                <c:pt idx="9">
                  <c:v>-0.1</c:v>
                </c:pt>
                <c:pt idx="10">
                  <c:v>0.04</c:v>
                </c:pt>
                <c:pt idx="11">
                  <c:v>4.7619047619047616E-2</c:v>
                </c:pt>
                <c:pt idx="12">
                  <c:v>-1.5384615384615385E-2</c:v>
                </c:pt>
                <c:pt idx="13">
                  <c:v>4.5454545454545456E-2</c:v>
                </c:pt>
                <c:pt idx="14">
                  <c:v>3.7037037037037035E-2</c:v>
                </c:pt>
                <c:pt idx="15">
                  <c:v>-0.13043478260869565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00-4954-9E0C-1119722D5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8788256"/>
        <c:axId val="1208792096"/>
      </c:barChart>
      <c:catAx>
        <c:axId val="120878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792096"/>
        <c:crosses val="autoZero"/>
        <c:auto val="1"/>
        <c:lblAlgn val="ctr"/>
        <c:lblOffset val="100"/>
        <c:noMultiLvlLbl val="0"/>
      </c:catAx>
      <c:valAx>
        <c:axId val="120879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78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Foaie1!$D$1</c:f>
              <c:strCache>
                <c:ptCount val="1"/>
                <c:pt idx="0">
                  <c:v>Target_Budget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Foaie1!$A$2:$C$17</c:f>
              <c:multiLvlStrCache>
                <c:ptCount val="16"/>
                <c:lvl>
                  <c:pt idx="0">
                    <c:v>Sarah</c:v>
                  </c:pt>
                  <c:pt idx="1">
                    <c:v>Mike</c:v>
                  </c:pt>
                  <c:pt idx="2">
                    <c:v>Sarah</c:v>
                  </c:pt>
                  <c:pt idx="3">
                    <c:v>Mike</c:v>
                  </c:pt>
                  <c:pt idx="4">
                    <c:v>Sarah</c:v>
                  </c:pt>
                  <c:pt idx="5">
                    <c:v>Mike</c:v>
                  </c:pt>
                  <c:pt idx="6">
                    <c:v>Sarah</c:v>
                  </c:pt>
                  <c:pt idx="7">
                    <c:v>Mike</c:v>
                  </c:pt>
                  <c:pt idx="8">
                    <c:v>Sarah</c:v>
                  </c:pt>
                  <c:pt idx="9">
                    <c:v>Mike</c:v>
                  </c:pt>
                  <c:pt idx="10">
                    <c:v>Sarah</c:v>
                  </c:pt>
                  <c:pt idx="11">
                    <c:v>Mike</c:v>
                  </c:pt>
                  <c:pt idx="12">
                    <c:v>Sarah</c:v>
                  </c:pt>
                  <c:pt idx="13">
                    <c:v>Mike</c:v>
                  </c:pt>
                  <c:pt idx="14">
                    <c:v>Sarah</c:v>
                  </c:pt>
                  <c:pt idx="15">
                    <c:v>Mike</c:v>
                  </c:pt>
                </c:lvl>
                <c:lvl>
                  <c:pt idx="0">
                    <c:v>North</c:v>
                  </c:pt>
                  <c:pt idx="1">
                    <c:v>South</c:v>
                  </c:pt>
                  <c:pt idx="2">
                    <c:v>North</c:v>
                  </c:pt>
                  <c:pt idx="3">
                    <c:v>South</c:v>
                  </c:pt>
                  <c:pt idx="4">
                    <c:v>North</c:v>
                  </c:pt>
                  <c:pt idx="5">
                    <c:v>South</c:v>
                  </c:pt>
                  <c:pt idx="6">
                    <c:v>North</c:v>
                  </c:pt>
                  <c:pt idx="7">
                    <c:v>South</c:v>
                  </c:pt>
                  <c:pt idx="8">
                    <c:v>North</c:v>
                  </c:pt>
                  <c:pt idx="9">
                    <c:v>South</c:v>
                  </c:pt>
                  <c:pt idx="10">
                    <c:v>North</c:v>
                  </c:pt>
                  <c:pt idx="11">
                    <c:v>South</c:v>
                  </c:pt>
                  <c:pt idx="12">
                    <c:v>North</c:v>
                  </c:pt>
                  <c:pt idx="13">
                    <c:v>South</c:v>
                  </c:pt>
                  <c:pt idx="14">
                    <c:v>North</c:v>
                  </c:pt>
                  <c:pt idx="15">
                    <c:v>South</c:v>
                  </c:pt>
                </c:lvl>
                <c:lvl>
                  <c:pt idx="0">
                    <c:v>1-Jan-24</c:v>
                  </c:pt>
                  <c:pt idx="1">
                    <c:v>1-Jan-24</c:v>
                  </c:pt>
                  <c:pt idx="2">
                    <c:v>1-Feb-24</c:v>
                  </c:pt>
                  <c:pt idx="3">
                    <c:v>1-Feb-24</c:v>
                  </c:pt>
                  <c:pt idx="4">
                    <c:v>1-Mar-24</c:v>
                  </c:pt>
                  <c:pt idx="5">
                    <c:v>1-Mar-24</c:v>
                  </c:pt>
                  <c:pt idx="6">
                    <c:v>1-Apr-24</c:v>
                  </c:pt>
                  <c:pt idx="7">
                    <c:v>1-Apr-24</c:v>
                  </c:pt>
                  <c:pt idx="8">
                    <c:v>1-May-24</c:v>
                  </c:pt>
                  <c:pt idx="9">
                    <c:v>1-May-24</c:v>
                  </c:pt>
                  <c:pt idx="10">
                    <c:v>1-Jun-24</c:v>
                  </c:pt>
                  <c:pt idx="11">
                    <c:v>1-Jun-24</c:v>
                  </c:pt>
                  <c:pt idx="12">
                    <c:v>1-Jul-24</c:v>
                  </c:pt>
                  <c:pt idx="13">
                    <c:v>1-Jul-24</c:v>
                  </c:pt>
                  <c:pt idx="14">
                    <c:v>1-Aug-24</c:v>
                  </c:pt>
                  <c:pt idx="15">
                    <c:v>1-Aug-24</c:v>
                  </c:pt>
                </c:lvl>
              </c:multiLvlStrCache>
            </c:multiLvlStrRef>
          </c:cat>
          <c:val>
            <c:numRef>
              <c:f>Foaie1!$D$2:$D$17</c:f>
              <c:numCache>
                <c:formatCode>General</c:formatCode>
                <c:ptCount val="16"/>
                <c:pt idx="0">
                  <c:v>10000</c:v>
                </c:pt>
                <c:pt idx="1">
                  <c:v>8000</c:v>
                </c:pt>
                <c:pt idx="2">
                  <c:v>10500</c:v>
                </c:pt>
                <c:pt idx="3">
                  <c:v>8500</c:v>
                </c:pt>
                <c:pt idx="4">
                  <c:v>11000</c:v>
                </c:pt>
                <c:pt idx="5">
                  <c:v>9000</c:v>
                </c:pt>
                <c:pt idx="6">
                  <c:v>11500</c:v>
                </c:pt>
                <c:pt idx="7">
                  <c:v>9500</c:v>
                </c:pt>
                <c:pt idx="8">
                  <c:v>12000</c:v>
                </c:pt>
                <c:pt idx="9">
                  <c:v>10000</c:v>
                </c:pt>
                <c:pt idx="10">
                  <c:v>12500</c:v>
                </c:pt>
                <c:pt idx="11">
                  <c:v>10500</c:v>
                </c:pt>
                <c:pt idx="12">
                  <c:v>13000</c:v>
                </c:pt>
                <c:pt idx="13">
                  <c:v>11000</c:v>
                </c:pt>
                <c:pt idx="14">
                  <c:v>13500</c:v>
                </c:pt>
                <c:pt idx="15">
                  <c:v>11500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E6-4CBC-BBFD-926927537E6D}"/>
            </c:ext>
          </c:extLst>
        </c:ser>
        <c:ser>
          <c:idx val="1"/>
          <c:order val="1"/>
          <c:tx>
            <c:strRef>
              <c:f>Foaie1!$E$1</c:f>
              <c:strCache>
                <c:ptCount val="1"/>
                <c:pt idx="0">
                  <c:v>Actual_Sales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"/>
            <c:dispRSqr val="0"/>
            <c:dispEq val="0"/>
          </c:trendline>
          <c:cat>
            <c:multiLvlStrRef>
              <c:f>Foaie1!$A$2:$C$17</c:f>
              <c:multiLvlStrCache>
                <c:ptCount val="16"/>
                <c:lvl>
                  <c:pt idx="0">
                    <c:v>Sarah</c:v>
                  </c:pt>
                  <c:pt idx="1">
                    <c:v>Mike</c:v>
                  </c:pt>
                  <c:pt idx="2">
                    <c:v>Sarah</c:v>
                  </c:pt>
                  <c:pt idx="3">
                    <c:v>Mike</c:v>
                  </c:pt>
                  <c:pt idx="4">
                    <c:v>Sarah</c:v>
                  </c:pt>
                  <c:pt idx="5">
                    <c:v>Mike</c:v>
                  </c:pt>
                  <c:pt idx="6">
                    <c:v>Sarah</c:v>
                  </c:pt>
                  <c:pt idx="7">
                    <c:v>Mike</c:v>
                  </c:pt>
                  <c:pt idx="8">
                    <c:v>Sarah</c:v>
                  </c:pt>
                  <c:pt idx="9">
                    <c:v>Mike</c:v>
                  </c:pt>
                  <c:pt idx="10">
                    <c:v>Sarah</c:v>
                  </c:pt>
                  <c:pt idx="11">
                    <c:v>Mike</c:v>
                  </c:pt>
                  <c:pt idx="12">
                    <c:v>Sarah</c:v>
                  </c:pt>
                  <c:pt idx="13">
                    <c:v>Mike</c:v>
                  </c:pt>
                  <c:pt idx="14">
                    <c:v>Sarah</c:v>
                  </c:pt>
                  <c:pt idx="15">
                    <c:v>Mike</c:v>
                  </c:pt>
                </c:lvl>
                <c:lvl>
                  <c:pt idx="0">
                    <c:v>North</c:v>
                  </c:pt>
                  <c:pt idx="1">
                    <c:v>South</c:v>
                  </c:pt>
                  <c:pt idx="2">
                    <c:v>North</c:v>
                  </c:pt>
                  <c:pt idx="3">
                    <c:v>South</c:v>
                  </c:pt>
                  <c:pt idx="4">
                    <c:v>North</c:v>
                  </c:pt>
                  <c:pt idx="5">
                    <c:v>South</c:v>
                  </c:pt>
                  <c:pt idx="6">
                    <c:v>North</c:v>
                  </c:pt>
                  <c:pt idx="7">
                    <c:v>South</c:v>
                  </c:pt>
                  <c:pt idx="8">
                    <c:v>North</c:v>
                  </c:pt>
                  <c:pt idx="9">
                    <c:v>South</c:v>
                  </c:pt>
                  <c:pt idx="10">
                    <c:v>North</c:v>
                  </c:pt>
                  <c:pt idx="11">
                    <c:v>South</c:v>
                  </c:pt>
                  <c:pt idx="12">
                    <c:v>North</c:v>
                  </c:pt>
                  <c:pt idx="13">
                    <c:v>South</c:v>
                  </c:pt>
                  <c:pt idx="14">
                    <c:v>North</c:v>
                  </c:pt>
                  <c:pt idx="15">
                    <c:v>South</c:v>
                  </c:pt>
                </c:lvl>
                <c:lvl>
                  <c:pt idx="0">
                    <c:v>1-Jan-24</c:v>
                  </c:pt>
                  <c:pt idx="1">
                    <c:v>1-Jan-24</c:v>
                  </c:pt>
                  <c:pt idx="2">
                    <c:v>1-Feb-24</c:v>
                  </c:pt>
                  <c:pt idx="3">
                    <c:v>1-Feb-24</c:v>
                  </c:pt>
                  <c:pt idx="4">
                    <c:v>1-Mar-24</c:v>
                  </c:pt>
                  <c:pt idx="5">
                    <c:v>1-Mar-24</c:v>
                  </c:pt>
                  <c:pt idx="6">
                    <c:v>1-Apr-24</c:v>
                  </c:pt>
                  <c:pt idx="7">
                    <c:v>1-Apr-24</c:v>
                  </c:pt>
                  <c:pt idx="8">
                    <c:v>1-May-24</c:v>
                  </c:pt>
                  <c:pt idx="9">
                    <c:v>1-May-24</c:v>
                  </c:pt>
                  <c:pt idx="10">
                    <c:v>1-Jun-24</c:v>
                  </c:pt>
                  <c:pt idx="11">
                    <c:v>1-Jun-24</c:v>
                  </c:pt>
                  <c:pt idx="12">
                    <c:v>1-Jul-24</c:v>
                  </c:pt>
                  <c:pt idx="13">
                    <c:v>1-Jul-24</c:v>
                  </c:pt>
                  <c:pt idx="14">
                    <c:v>1-Aug-24</c:v>
                  </c:pt>
                  <c:pt idx="15">
                    <c:v>1-Aug-24</c:v>
                  </c:pt>
                </c:lvl>
              </c:multiLvlStrCache>
            </c:multiLvlStrRef>
          </c:cat>
          <c:val>
            <c:numRef>
              <c:f>Foaie1!$E$2:$E$17</c:f>
              <c:numCache>
                <c:formatCode>General</c:formatCode>
                <c:ptCount val="16"/>
                <c:pt idx="0">
                  <c:v>9500</c:v>
                </c:pt>
                <c:pt idx="1">
                  <c:v>8200</c:v>
                </c:pt>
                <c:pt idx="2">
                  <c:v>10800</c:v>
                </c:pt>
                <c:pt idx="3">
                  <c:v>8000</c:v>
                </c:pt>
                <c:pt idx="4">
                  <c:v>11500</c:v>
                </c:pt>
                <c:pt idx="5">
                  <c:v>9200</c:v>
                </c:pt>
                <c:pt idx="6">
                  <c:v>11000</c:v>
                </c:pt>
                <c:pt idx="7">
                  <c:v>9800</c:v>
                </c:pt>
                <c:pt idx="8">
                  <c:v>12500</c:v>
                </c:pt>
                <c:pt idx="9">
                  <c:v>9000</c:v>
                </c:pt>
                <c:pt idx="10">
                  <c:v>13000</c:v>
                </c:pt>
                <c:pt idx="11">
                  <c:v>11000</c:v>
                </c:pt>
                <c:pt idx="12">
                  <c:v>12800</c:v>
                </c:pt>
                <c:pt idx="13">
                  <c:v>11500</c:v>
                </c:pt>
                <c:pt idx="14">
                  <c:v>14000</c:v>
                </c:pt>
                <c:pt idx="15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E6-4CBC-BBFD-926927537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8763776"/>
        <c:axId val="1208764256"/>
      </c:lineChart>
      <c:catAx>
        <c:axId val="120876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764256"/>
        <c:crosses val="autoZero"/>
        <c:auto val="1"/>
        <c:lblAlgn val="ctr"/>
        <c:lblOffset val="100"/>
        <c:noMultiLvlLbl val="0"/>
      </c:catAx>
      <c:valAx>
        <c:axId val="120876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76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72957</xdr:colOff>
      <xdr:row>15</xdr:row>
      <xdr:rowOff>53867</xdr:rowOff>
    </xdr:from>
    <xdr:to>
      <xdr:col>14</xdr:col>
      <xdr:colOff>396888</xdr:colOff>
      <xdr:row>30</xdr:row>
      <xdr:rowOff>45093</xdr:rowOff>
    </xdr:to>
    <xdr:graphicFrame macro="">
      <xdr:nvGraphicFramePr>
        <xdr:cNvPr id="3" name="Diagramă 2">
          <a:extLst>
            <a:ext uri="{FF2B5EF4-FFF2-40B4-BE49-F238E27FC236}">
              <a16:creationId xmlns:a16="http://schemas.microsoft.com/office/drawing/2014/main" id="{1045AEB0-192E-D1BF-A5D7-FC050E1A44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72957</xdr:colOff>
      <xdr:row>0</xdr:row>
      <xdr:rowOff>128080</xdr:rowOff>
    </xdr:from>
    <xdr:to>
      <xdr:col>14</xdr:col>
      <xdr:colOff>389106</xdr:colOff>
      <xdr:row>14</xdr:row>
      <xdr:rowOff>147535</xdr:rowOff>
    </xdr:to>
    <xdr:graphicFrame macro="">
      <xdr:nvGraphicFramePr>
        <xdr:cNvPr id="5" name="Diagramă 4">
          <a:extLst>
            <a:ext uri="{FF2B5EF4-FFF2-40B4-BE49-F238E27FC236}">
              <a16:creationId xmlns:a16="http://schemas.microsoft.com/office/drawing/2014/main" id="{4D5A0524-B52B-8079-9484-9482A427E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DA324D-E652-4204-9ACD-7FA056CEF09A}" name="Tabel1" displayName="Tabel1" ref="A1:G17" totalsRowShown="0" headerRowDxfId="2" dataDxfId="3" headerRowBorderDxfId="10" tableBorderDxfId="11" totalsRowBorderDxfId="9">
  <autoFilter ref="A1:G17" xr:uid="{82DA324D-E652-4204-9ACD-7FA056CEF09A}"/>
  <tableColumns count="7">
    <tableColumn id="1" xr3:uid="{17858A0B-0E85-4277-A74B-59DFD3294293}" name="Date" dataDxfId="8"/>
    <tableColumn id="2" xr3:uid="{C66C659F-01A0-42E4-996C-ACA002E44937}" name="Region" dataDxfId="7"/>
    <tableColumn id="3" xr3:uid="{59BB0BAF-F889-4CF9-A874-D73F5511145A}" name="Sales_Rep" dataDxfId="6"/>
    <tableColumn id="4" xr3:uid="{74D411E2-8F6C-48D7-92B5-A11CE17FF373}" name="Target_Budget" dataDxfId="5"/>
    <tableColumn id="5" xr3:uid="{B45FCA8D-E085-4120-91F1-6D2A0D952FCC}" name="Actual_Sales" dataDxfId="4"/>
    <tableColumn id="6" xr3:uid="{1F24F502-8B7D-4231-BBD6-D355091CD9FD}" name="Variance" dataDxfId="1">
      <calculatedColumnFormula>Tabel1[[#This Row],[Actual_Sales]] - Tabel1[[#This Row],[Target_Budget]]</calculatedColumnFormula>
    </tableColumn>
    <tableColumn id="7" xr3:uid="{EB7BF3AA-5528-4E34-8388-588EA990B321}" name="Variance %" dataDxfId="0" dataCellStyle="Procent">
      <calculatedColumnFormula>Tabel1[[#This Row],[Variance]] /Tabel1[[#This Row],[Target_Budget]]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53A39-81EF-4AC5-A02F-6F38F3F5B795}">
  <dimension ref="A1:G17"/>
  <sheetViews>
    <sheetView tabSelected="1" zoomScale="94" zoomScaleNormal="94" workbookViewId="0">
      <selection activeCell="D7" sqref="D7"/>
    </sheetView>
  </sheetViews>
  <sheetFormatPr defaultRowHeight="14.4" x14ac:dyDescent="0.3"/>
  <cols>
    <col min="1" max="1" width="10.44140625" bestFit="1" customWidth="1"/>
    <col min="2" max="2" width="9.77734375" customWidth="1"/>
    <col min="3" max="3" width="13.21875" customWidth="1"/>
    <col min="4" max="4" width="17.21875" customWidth="1"/>
    <col min="5" max="5" width="15.44140625" customWidth="1"/>
    <col min="6" max="7" width="12.77734375" bestFit="1" customWidth="1"/>
  </cols>
  <sheetData>
    <row r="1" spans="1:7" ht="15" thickBot="1" x14ac:dyDescent="0.3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9</v>
      </c>
      <c r="G1" s="11" t="s">
        <v>10</v>
      </c>
    </row>
    <row r="2" spans="1:7" ht="15" thickBot="1" x14ac:dyDescent="0.35">
      <c r="A2" s="2">
        <v>45292</v>
      </c>
      <c r="B2" s="1" t="s">
        <v>5</v>
      </c>
      <c r="C2" s="1" t="s">
        <v>6</v>
      </c>
      <c r="D2" s="1">
        <v>10000</v>
      </c>
      <c r="E2" s="3">
        <v>9500</v>
      </c>
      <c r="F2" s="10">
        <f>Tabel1[[#This Row],[Actual_Sales]] - Tabel1[[#This Row],[Target_Budget]]</f>
        <v>-500</v>
      </c>
      <c r="G2" s="12">
        <f>Tabel1[[#This Row],[Variance]] /Tabel1[[#This Row],[Target_Budget]]</f>
        <v>-0.05</v>
      </c>
    </row>
    <row r="3" spans="1:7" ht="15" thickBot="1" x14ac:dyDescent="0.35">
      <c r="A3" s="2">
        <v>45292</v>
      </c>
      <c r="B3" s="1" t="s">
        <v>7</v>
      </c>
      <c r="C3" s="1" t="s">
        <v>8</v>
      </c>
      <c r="D3" s="1">
        <v>8000</v>
      </c>
      <c r="E3" s="3">
        <v>8200</v>
      </c>
      <c r="F3" s="1">
        <f>Tabel1[[#This Row],[Actual_Sales]] - Tabel1[[#This Row],[Target_Budget]]</f>
        <v>200</v>
      </c>
      <c r="G3" s="13">
        <f>Tabel1[[#This Row],[Variance]] /Tabel1[[#This Row],[Target_Budget]]</f>
        <v>2.5000000000000001E-2</v>
      </c>
    </row>
    <row r="4" spans="1:7" ht="15" thickBot="1" x14ac:dyDescent="0.35">
      <c r="A4" s="2">
        <v>45323</v>
      </c>
      <c r="B4" s="1" t="s">
        <v>5</v>
      </c>
      <c r="C4" s="1" t="s">
        <v>6</v>
      </c>
      <c r="D4" s="1">
        <v>10500</v>
      </c>
      <c r="E4" s="3">
        <v>10800</v>
      </c>
      <c r="F4" s="1">
        <f>Tabel1[[#This Row],[Actual_Sales]] - Tabel1[[#This Row],[Target_Budget]]</f>
        <v>300</v>
      </c>
      <c r="G4" s="13">
        <f>Tabel1[[#This Row],[Variance]] /Tabel1[[#This Row],[Target_Budget]]</f>
        <v>2.8571428571428571E-2</v>
      </c>
    </row>
    <row r="5" spans="1:7" ht="15" thickBot="1" x14ac:dyDescent="0.35">
      <c r="A5" s="2">
        <v>45323</v>
      </c>
      <c r="B5" s="1" t="s">
        <v>7</v>
      </c>
      <c r="C5" s="1" t="s">
        <v>8</v>
      </c>
      <c r="D5" s="1">
        <v>8500</v>
      </c>
      <c r="E5" s="3">
        <v>8000</v>
      </c>
      <c r="F5" s="1">
        <f>Tabel1[[#This Row],[Actual_Sales]] - Tabel1[[#This Row],[Target_Budget]]</f>
        <v>-500</v>
      </c>
      <c r="G5" s="13">
        <f>Tabel1[[#This Row],[Variance]] /Tabel1[[#This Row],[Target_Budget]]</f>
        <v>-5.8823529411764705E-2</v>
      </c>
    </row>
    <row r="6" spans="1:7" ht="15" thickBot="1" x14ac:dyDescent="0.35">
      <c r="A6" s="2">
        <v>45352</v>
      </c>
      <c r="B6" s="1" t="s">
        <v>5</v>
      </c>
      <c r="C6" s="1" t="s">
        <v>6</v>
      </c>
      <c r="D6" s="1">
        <v>11000</v>
      </c>
      <c r="E6" s="3">
        <v>11500</v>
      </c>
      <c r="F6" s="1">
        <f>Tabel1[[#This Row],[Actual_Sales]] - Tabel1[[#This Row],[Target_Budget]]</f>
        <v>500</v>
      </c>
      <c r="G6" s="13">
        <f>Tabel1[[#This Row],[Variance]] /Tabel1[[#This Row],[Target_Budget]]</f>
        <v>4.5454545454545456E-2</v>
      </c>
    </row>
    <row r="7" spans="1:7" ht="15" thickBot="1" x14ac:dyDescent="0.35">
      <c r="A7" s="2">
        <v>45352</v>
      </c>
      <c r="B7" s="1" t="s">
        <v>7</v>
      </c>
      <c r="C7" s="1" t="s">
        <v>8</v>
      </c>
      <c r="D7" s="1">
        <v>9000</v>
      </c>
      <c r="E7" s="3">
        <v>9200</v>
      </c>
      <c r="F7" s="1">
        <f>Tabel1[[#This Row],[Actual_Sales]] - Tabel1[[#This Row],[Target_Budget]]</f>
        <v>200</v>
      </c>
      <c r="G7" s="13">
        <f>Tabel1[[#This Row],[Variance]] /Tabel1[[#This Row],[Target_Budget]]</f>
        <v>2.2222222222222223E-2</v>
      </c>
    </row>
    <row r="8" spans="1:7" ht="15" thickBot="1" x14ac:dyDescent="0.35">
      <c r="A8" s="2">
        <v>45383</v>
      </c>
      <c r="B8" s="1" t="s">
        <v>5</v>
      </c>
      <c r="C8" s="1" t="s">
        <v>6</v>
      </c>
      <c r="D8" s="1">
        <v>11500</v>
      </c>
      <c r="E8" s="3">
        <v>11000</v>
      </c>
      <c r="F8" s="1">
        <f>Tabel1[[#This Row],[Actual_Sales]] - Tabel1[[#This Row],[Target_Budget]]</f>
        <v>-500</v>
      </c>
      <c r="G8" s="13">
        <f>Tabel1[[#This Row],[Variance]] /Tabel1[[#This Row],[Target_Budget]]</f>
        <v>-4.3478260869565216E-2</v>
      </c>
    </row>
    <row r="9" spans="1:7" ht="15" thickBot="1" x14ac:dyDescent="0.35">
      <c r="A9" s="2">
        <v>45383</v>
      </c>
      <c r="B9" s="1" t="s">
        <v>7</v>
      </c>
      <c r="C9" s="1" t="s">
        <v>8</v>
      </c>
      <c r="D9" s="1">
        <v>9500</v>
      </c>
      <c r="E9" s="3">
        <v>9800</v>
      </c>
      <c r="F9" s="1">
        <f>Tabel1[[#This Row],[Actual_Sales]] - Tabel1[[#This Row],[Target_Budget]]</f>
        <v>300</v>
      </c>
      <c r="G9" s="13">
        <f>Tabel1[[#This Row],[Variance]] /Tabel1[[#This Row],[Target_Budget]]</f>
        <v>3.1578947368421054E-2</v>
      </c>
    </row>
    <row r="10" spans="1:7" ht="15" thickBot="1" x14ac:dyDescent="0.35">
      <c r="A10" s="2">
        <v>45413</v>
      </c>
      <c r="B10" s="1" t="s">
        <v>5</v>
      </c>
      <c r="C10" s="1" t="s">
        <v>6</v>
      </c>
      <c r="D10" s="1">
        <v>12000</v>
      </c>
      <c r="E10" s="3">
        <v>12500</v>
      </c>
      <c r="F10" s="1">
        <f>Tabel1[[#This Row],[Actual_Sales]] - Tabel1[[#This Row],[Target_Budget]]</f>
        <v>500</v>
      </c>
      <c r="G10" s="13">
        <f>Tabel1[[#This Row],[Variance]] /Tabel1[[#This Row],[Target_Budget]]</f>
        <v>4.1666666666666664E-2</v>
      </c>
    </row>
    <row r="11" spans="1:7" ht="15" thickBot="1" x14ac:dyDescent="0.35">
      <c r="A11" s="2">
        <v>45413</v>
      </c>
      <c r="B11" s="1" t="s">
        <v>7</v>
      </c>
      <c r="C11" s="1" t="s">
        <v>8</v>
      </c>
      <c r="D11" s="1">
        <v>10000</v>
      </c>
      <c r="E11" s="3">
        <v>9000</v>
      </c>
      <c r="F11" s="1">
        <f>Tabel1[[#This Row],[Actual_Sales]] - Tabel1[[#This Row],[Target_Budget]]</f>
        <v>-1000</v>
      </c>
      <c r="G11" s="13">
        <f>Tabel1[[#This Row],[Variance]] /Tabel1[[#This Row],[Target_Budget]]</f>
        <v>-0.1</v>
      </c>
    </row>
    <row r="12" spans="1:7" ht="15" thickBot="1" x14ac:dyDescent="0.35">
      <c r="A12" s="2">
        <v>45444</v>
      </c>
      <c r="B12" s="1" t="s">
        <v>5</v>
      </c>
      <c r="C12" s="1" t="s">
        <v>6</v>
      </c>
      <c r="D12" s="1">
        <v>12500</v>
      </c>
      <c r="E12" s="3">
        <v>13000</v>
      </c>
      <c r="F12" s="1">
        <f>Tabel1[[#This Row],[Actual_Sales]] - Tabel1[[#This Row],[Target_Budget]]</f>
        <v>500</v>
      </c>
      <c r="G12" s="13">
        <f>Tabel1[[#This Row],[Variance]] /Tabel1[[#This Row],[Target_Budget]]</f>
        <v>0.04</v>
      </c>
    </row>
    <row r="13" spans="1:7" ht="15" thickBot="1" x14ac:dyDescent="0.35">
      <c r="A13" s="2">
        <v>45444</v>
      </c>
      <c r="B13" s="1" t="s">
        <v>7</v>
      </c>
      <c r="C13" s="1" t="s">
        <v>8</v>
      </c>
      <c r="D13" s="1">
        <v>10500</v>
      </c>
      <c r="E13" s="3">
        <v>11000</v>
      </c>
      <c r="F13" s="1">
        <f>Tabel1[[#This Row],[Actual_Sales]] - Tabel1[[#This Row],[Target_Budget]]</f>
        <v>500</v>
      </c>
      <c r="G13" s="13">
        <f>Tabel1[[#This Row],[Variance]] /Tabel1[[#This Row],[Target_Budget]]</f>
        <v>4.7619047619047616E-2</v>
      </c>
    </row>
    <row r="14" spans="1:7" ht="15" thickBot="1" x14ac:dyDescent="0.35">
      <c r="A14" s="2">
        <v>45474</v>
      </c>
      <c r="B14" s="1" t="s">
        <v>5</v>
      </c>
      <c r="C14" s="1" t="s">
        <v>6</v>
      </c>
      <c r="D14" s="1">
        <v>13000</v>
      </c>
      <c r="E14" s="3">
        <v>12800</v>
      </c>
      <c r="F14" s="1">
        <f>Tabel1[[#This Row],[Actual_Sales]] - Tabel1[[#This Row],[Target_Budget]]</f>
        <v>-200</v>
      </c>
      <c r="G14" s="13">
        <f>Tabel1[[#This Row],[Variance]] /Tabel1[[#This Row],[Target_Budget]]</f>
        <v>-1.5384615384615385E-2</v>
      </c>
    </row>
    <row r="15" spans="1:7" ht="15" thickBot="1" x14ac:dyDescent="0.35">
      <c r="A15" s="2">
        <v>45474</v>
      </c>
      <c r="B15" s="1" t="s">
        <v>7</v>
      </c>
      <c r="C15" s="1" t="s">
        <v>8</v>
      </c>
      <c r="D15" s="1">
        <v>11000</v>
      </c>
      <c r="E15" s="3">
        <v>11500</v>
      </c>
      <c r="F15" s="1">
        <f>Tabel1[[#This Row],[Actual_Sales]] - Tabel1[[#This Row],[Target_Budget]]</f>
        <v>500</v>
      </c>
      <c r="G15" s="13">
        <f>Tabel1[[#This Row],[Variance]] /Tabel1[[#This Row],[Target_Budget]]</f>
        <v>4.5454545454545456E-2</v>
      </c>
    </row>
    <row r="16" spans="1:7" ht="15" thickBot="1" x14ac:dyDescent="0.35">
      <c r="A16" s="2">
        <v>45505</v>
      </c>
      <c r="B16" s="1" t="s">
        <v>5</v>
      </c>
      <c r="C16" s="1" t="s">
        <v>6</v>
      </c>
      <c r="D16" s="1">
        <v>13500</v>
      </c>
      <c r="E16" s="3">
        <v>14000</v>
      </c>
      <c r="F16" s="1">
        <f>Tabel1[[#This Row],[Actual_Sales]] - Tabel1[[#This Row],[Target_Budget]]</f>
        <v>500</v>
      </c>
      <c r="G16" s="13">
        <f>Tabel1[[#This Row],[Variance]] /Tabel1[[#This Row],[Target_Budget]]</f>
        <v>3.7037037037037035E-2</v>
      </c>
    </row>
    <row r="17" spans="1:7" x14ac:dyDescent="0.3">
      <c r="A17" s="7">
        <v>45505</v>
      </c>
      <c r="B17" s="8" t="s">
        <v>7</v>
      </c>
      <c r="C17" s="8" t="s">
        <v>8</v>
      </c>
      <c r="D17" s="8">
        <v>11500</v>
      </c>
      <c r="E17" s="9">
        <v>10000</v>
      </c>
      <c r="F17" s="8">
        <f>Tabel1[[#This Row],[Actual_Sales]] - Tabel1[[#This Row],[Target_Budget]]</f>
        <v>-1500</v>
      </c>
      <c r="G17" s="14">
        <f>Tabel1[[#This Row],[Variance]] /Tabel1[[#This Row],[Target_Budget]]</f>
        <v>-0.13043478260869565</v>
      </c>
    </row>
  </sheetData>
  <conditionalFormatting sqref="F2:F1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{E06E795F-6D20-423A-9746-20535D752E13}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6E795F-6D20-423A-9746-20535D752E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Alex-Daniel Nucă</dc:creator>
  <cp:lastModifiedBy>Alex-Daniel Nucă</cp:lastModifiedBy>
  <dcterms:created xsi:type="dcterms:W3CDTF">2026-02-02T11:51:21Z</dcterms:created>
  <dcterms:modified xsi:type="dcterms:W3CDTF">2026-02-02T12:18:40Z</dcterms:modified>
</cp:coreProperties>
</file>