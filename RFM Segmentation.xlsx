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oca\Desktop\Data_Portofolio\"/>
    </mc:Choice>
  </mc:AlternateContent>
  <xr:revisionPtr revIDLastSave="0" documentId="13_ncr:1_{59261B31-0D98-4899-9487-59DAFEE7981C}" xr6:coauthVersionLast="47" xr6:coauthVersionMax="47" xr10:uidLastSave="{00000000-0000-0000-0000-000000000000}"/>
  <bookViews>
    <workbookView xWindow="11424" yWindow="0" windowWidth="11712" windowHeight="12336" activeTab="1" xr2:uid="{23F348CE-0809-4F42-A48F-054343BF89A6}"/>
  </bookViews>
  <sheets>
    <sheet name="Foaie1" sheetId="1" r:id="rId1"/>
    <sheet name="Foaie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3" i="2"/>
  <c r="H12" i="2"/>
  <c r="K3" i="2"/>
  <c r="L3" i="2" s="1"/>
  <c r="K4" i="2"/>
  <c r="L4" i="2" s="1"/>
  <c r="K5" i="2"/>
  <c r="L5" i="2" s="1"/>
  <c r="K6" i="2"/>
  <c r="L6" i="2" s="1"/>
  <c r="K7" i="2"/>
  <c r="L7" i="2" s="1"/>
  <c r="K2" i="2"/>
  <c r="L2" i="2" s="1"/>
</calcChain>
</file>

<file path=xl/sharedStrings.xml><?xml version="1.0" encoding="utf-8"?>
<sst xmlns="http://schemas.openxmlformats.org/spreadsheetml/2006/main" count="80" uniqueCount="38">
  <si>
    <t>Order_ID</t>
  </si>
  <si>
    <t>Date</t>
  </si>
  <si>
    <t>Customer_ID</t>
  </si>
  <si>
    <t>Customer_Name</t>
  </si>
  <si>
    <t>Product</t>
  </si>
  <si>
    <t>Amount</t>
  </si>
  <si>
    <t>C-001</t>
  </si>
  <si>
    <t>Alice Smith</t>
  </si>
  <si>
    <t>Widget A</t>
  </si>
  <si>
    <t>C-002</t>
  </si>
  <si>
    <t>Bob Jones</t>
  </si>
  <si>
    <t>Widget B</t>
  </si>
  <si>
    <t>Widget C</t>
  </si>
  <si>
    <t>C-003</t>
  </si>
  <si>
    <t>Charlie Day</t>
  </si>
  <si>
    <t>C-004</t>
  </si>
  <si>
    <t>Dana Lee</t>
  </si>
  <si>
    <t>Widget Z</t>
  </si>
  <si>
    <t>C-005</t>
  </si>
  <si>
    <t>Evan Wright</t>
  </si>
  <si>
    <t>C-006</t>
  </si>
  <si>
    <t>Frank Miller</t>
  </si>
  <si>
    <t>Sumă de Amount</t>
  </si>
  <si>
    <t>Contor de Order_ID</t>
  </si>
  <si>
    <t>Etichete de rânduri</t>
  </si>
  <si>
    <t>Total general</t>
  </si>
  <si>
    <t>Max de Date</t>
  </si>
  <si>
    <t>Customer</t>
  </si>
  <si>
    <t>Frequency</t>
  </si>
  <si>
    <t>Last Date</t>
  </si>
  <si>
    <t>Monetary</t>
  </si>
  <si>
    <t>Recency</t>
  </si>
  <si>
    <t>Status</t>
  </si>
  <si>
    <t>Segment</t>
  </si>
  <si>
    <t xml:space="preserve">Total Revenue </t>
  </si>
  <si>
    <t>At Risk</t>
  </si>
  <si>
    <t>VIP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</si>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</sst>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409]dd\-mmm\-yy;@"/>
    <numFmt numFmtId="172" formatCode="[$-409]d\-mmm\-yy;@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1"/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15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15" fontId="1" fillId="0" borderId="8" xfId="0" applyNumberFormat="1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  <xf numFmtId="0" fontId="0" fillId="0" borderId="10" xfId="0" applyBorder="1"/>
    <xf numFmtId="171" fontId="0" fillId="0" borderId="10" xfId="0" applyNumberForma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172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0" formatCode="d\-mmm\-yy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ca" refreshedDate="46055.501911921296" createdVersion="8" refreshedVersion="8" minRefreshableVersion="3" recordCount="15" xr:uid="{A0724008-368D-45A5-BD74-5380B4877481}">
  <cacheSource type="worksheet">
    <worksheetSource name="Tabel1"/>
  </cacheSource>
  <cacheFields count="6">
    <cacheField name="Order_ID" numFmtId="0">
      <sharedItems containsSemiMixedTypes="0" containsString="0" containsNumber="1" containsInteger="1" minValue="1001" maxValue="1015"/>
    </cacheField>
    <cacheField name="Date" numFmtId="15">
      <sharedItems containsSemiMixedTypes="0" containsNonDate="0" containsDate="1" containsString="0" minDate="2024-01-01T00:00:00" maxDate="2024-03-11T00:00:00"/>
    </cacheField>
    <cacheField name="Customer_ID" numFmtId="0">
      <sharedItems/>
    </cacheField>
    <cacheField name="Customer_Name" numFmtId="0">
      <sharedItems count="6">
        <s v="Alice Smith"/>
        <s v="Bob Jones"/>
        <s v="Charlie Day"/>
        <s v="Dana Lee"/>
        <s v="Evan Wright"/>
        <s v="Frank Miller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3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d v="2024-01-01T00:00:00"/>
    <s v="C-001"/>
    <x v="0"/>
    <s v="Widget A"/>
    <n v="50"/>
  </r>
  <r>
    <n v="1002"/>
    <d v="2024-01-03T00:00:00"/>
    <s v="C-002"/>
    <x v="1"/>
    <s v="Widget B"/>
    <n v="120"/>
  </r>
  <r>
    <n v="1003"/>
    <d v="2024-01-05T00:00:00"/>
    <s v="C-001"/>
    <x v="0"/>
    <s v="Widget C"/>
    <n v="30"/>
  </r>
  <r>
    <n v="1004"/>
    <d v="2024-01-10T00:00:00"/>
    <s v="C-003"/>
    <x v="2"/>
    <s v="Widget A"/>
    <n v="50"/>
  </r>
  <r>
    <n v="1005"/>
    <d v="2024-01-12T00:00:00"/>
    <s v="C-001"/>
    <x v="0"/>
    <s v="Widget A"/>
    <n v="50"/>
  </r>
  <r>
    <n v="1006"/>
    <d v="2024-01-15T00:00:00"/>
    <s v="C-002"/>
    <x v="1"/>
    <s v="Widget A"/>
    <n v="50"/>
  </r>
  <r>
    <n v="1007"/>
    <d v="2024-01-20T00:00:00"/>
    <s v="C-004"/>
    <x v="3"/>
    <s v="Widget Z"/>
    <n v="500"/>
  </r>
  <r>
    <n v="1008"/>
    <d v="2024-01-22T00:00:00"/>
    <s v="C-003"/>
    <x v="2"/>
    <s v="Widget B"/>
    <n v="120"/>
  </r>
  <r>
    <n v="1009"/>
    <d v="2024-01-25T00:00:00"/>
    <s v="C-005"/>
    <x v="4"/>
    <s v="Widget A"/>
    <n v="45"/>
  </r>
  <r>
    <n v="1010"/>
    <d v="2024-02-10T00:00:00"/>
    <s v="C-001"/>
    <x v="0"/>
    <s v="Widget Z"/>
    <n v="500"/>
  </r>
  <r>
    <n v="1011"/>
    <d v="2024-02-15T00:00:00"/>
    <s v="C-004"/>
    <x v="3"/>
    <s v="Widget A"/>
    <n v="50"/>
  </r>
  <r>
    <n v="1012"/>
    <d v="2024-02-20T00:00:00"/>
    <s v="C-005"/>
    <x v="4"/>
    <s v="Widget C"/>
    <n v="30"/>
  </r>
  <r>
    <n v="1013"/>
    <d v="2024-03-01T00:00:00"/>
    <s v="C-003"/>
    <x v="2"/>
    <s v="Widget B"/>
    <n v="120"/>
  </r>
  <r>
    <n v="1014"/>
    <d v="2024-03-05T00:00:00"/>
    <s v="C-001"/>
    <x v="0"/>
    <s v="Widget B"/>
    <n v="120"/>
  </r>
  <r>
    <n v="1015"/>
    <d v="2024-03-10T00:00:00"/>
    <s v="C-006"/>
    <x v="5"/>
    <s v="Widget A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C11C8-F7DE-437A-9A51-1862CB92D5BD}" name="PivotTable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D8" firstHeaderRow="0" firstDataRow="1" firstDataCol="1"/>
  <pivotFields count="6">
    <pivotField dataField="1" showAll="0"/>
    <pivotField dataField="1" numFmtId="15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ă de Amount" fld="5" baseField="0" baseItem="0"/>
    <dataField name="Contor de Order_ID" fld="0" subtotal="count" baseField="0" baseItem="1"/>
    <dataField name="Max de Date" fld="1" subtotal="max" baseField="3" baseItem="0" numFmtId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C0226-F52D-4323-9AC9-91B0B8CE08B1}" name="Tabel1" displayName="Tabel1" ref="A1:F16" totalsRowShown="0" headerRowDxfId="7" dataDxfId="6" headerRowBorderDxfId="15" tableBorderDxfId="16" totalsRowBorderDxfId="14">
  <autoFilter ref="A1:F16" xr:uid="{B49C0226-F52D-4323-9AC9-91B0B8CE08B1}"/>
  <tableColumns count="6">
    <tableColumn id="1" xr3:uid="{5A79EF03-578C-40D6-8566-CE6CFA1D572B}" name="Order_ID" dataDxfId="13"/>
    <tableColumn id="2" xr3:uid="{E605A861-7A3F-4CD0-8609-1382584CE156}" name="Date" dataDxfId="12"/>
    <tableColumn id="3" xr3:uid="{C081D61D-047C-4420-96FD-41884F9A073C}" name="Customer_ID" dataDxfId="11"/>
    <tableColumn id="4" xr3:uid="{CA314097-0FFD-4A29-942A-A44EA285EFD8}" name="Customer_Name" dataDxfId="10"/>
    <tableColumn id="5" xr3:uid="{1A93DF29-3BB0-4718-AD47-66C0D24CA7A9}" name="Product" dataDxfId="9"/>
    <tableColumn id="6" xr3:uid="{A25C4419-514E-41F5-9D00-C3B443D72FF0}" name="Amoun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75AC0-5A28-4732-8992-7D0C6AE68D88}" name="Tabel2" displayName="Tabel2" ref="G1:L7" totalsRowShown="0">
  <autoFilter ref="G1:L7" xr:uid="{75775AC0-5A28-4732-8992-7D0C6AE68D88}"/>
  <tableColumns count="6">
    <tableColumn id="1" xr3:uid="{333BA78F-7314-4A30-8852-3C4430359B30}" name="Customer"/>
    <tableColumn id="2" xr3:uid="{CA4FD441-26B7-422F-A8DC-0D85011D0730}" name="Monetary"/>
    <tableColumn id="3" xr3:uid="{5A3394A9-1782-4795-8040-1972863DFABD}" name="Frequency"/>
    <tableColumn id="4" xr3:uid="{3AC3C93C-A73E-4642-9822-AB182CD6E666}" name="Last Date" dataDxfId="5"/>
    <tableColumn id="5" xr3:uid="{22EC226C-F887-4948-9690-07E9E7862DC0}" name="Recency" dataDxfId="4">
      <calculatedColumnFormula>$H$9 - J2</calculatedColumnFormula>
    </tableColumn>
    <tableColumn id="6" xr3:uid="{D1E284C9-9A2B-46CA-B164-84E27AFC728C}" name="Status" dataDxfId="3">
      <calculatedColumnFormula xml:space="preserve"> IF(K2 &gt; 50, "At Risk",IF(I2 &gt;= 3, "VIP", "Regular"))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E3F92E-0C49-4D48-A0EB-795E9F90D63E}" name="Tabel3" displayName="Tabel3" ref="G11:H14" totalsRowShown="0">
  <autoFilter ref="G11:H14" xr:uid="{F1E3F92E-0C49-4D48-A0EB-795E9F90D63E}"/>
  <tableColumns count="2">
    <tableColumn id="1" xr3:uid="{79E2893C-15CD-4190-8723-56F96136D5BD}" name="Segment"/>
    <tableColumn id="2" xr3:uid="{352539A4-C420-4BE5-9D14-B64D4DFD67EA}" name="Total Revenu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97E3-08C9-4C8A-809C-3D69A19735E5}">
  <dimension ref="A1:F16"/>
  <sheetViews>
    <sheetView workbookViewId="0">
      <selection activeCell="C9" sqref="C9"/>
    </sheetView>
  </sheetViews>
  <sheetFormatPr defaultRowHeight="14.4" x14ac:dyDescent="0.3"/>
  <cols>
    <col min="1" max="1" width="12.5546875" customWidth="1"/>
    <col min="2" max="2" width="11.6640625" customWidth="1"/>
    <col min="3" max="3" width="16.5546875" customWidth="1"/>
    <col min="4" max="4" width="20.21875" customWidth="1"/>
    <col min="5" max="5" width="11.44140625" customWidth="1"/>
    <col min="6" max="6" width="11.5546875" customWidth="1"/>
  </cols>
  <sheetData>
    <row r="1" spans="1:6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" thickBot="1" x14ac:dyDescent="0.35">
      <c r="A2" s="5">
        <v>1001</v>
      </c>
      <c r="B2" s="6">
        <v>45292</v>
      </c>
      <c r="C2" s="7" t="s">
        <v>6</v>
      </c>
      <c r="D2" s="7" t="s">
        <v>7</v>
      </c>
      <c r="E2" s="7" t="s">
        <v>8</v>
      </c>
      <c r="F2" s="8">
        <v>50</v>
      </c>
    </row>
    <row r="3" spans="1:6" ht="15" thickBot="1" x14ac:dyDescent="0.35">
      <c r="A3" s="5">
        <v>1002</v>
      </c>
      <c r="B3" s="6">
        <v>45294</v>
      </c>
      <c r="C3" s="7" t="s">
        <v>9</v>
      </c>
      <c r="D3" s="7" t="s">
        <v>10</v>
      </c>
      <c r="E3" s="7" t="s">
        <v>11</v>
      </c>
      <c r="F3" s="8">
        <v>120</v>
      </c>
    </row>
    <row r="4" spans="1:6" ht="15" thickBot="1" x14ac:dyDescent="0.35">
      <c r="A4" s="5">
        <v>1003</v>
      </c>
      <c r="B4" s="6">
        <v>45296</v>
      </c>
      <c r="C4" s="7" t="s">
        <v>6</v>
      </c>
      <c r="D4" s="7" t="s">
        <v>7</v>
      </c>
      <c r="E4" s="7" t="s">
        <v>12</v>
      </c>
      <c r="F4" s="8">
        <v>30</v>
      </c>
    </row>
    <row r="5" spans="1:6" ht="15" thickBot="1" x14ac:dyDescent="0.35">
      <c r="A5" s="5">
        <v>1004</v>
      </c>
      <c r="B5" s="6">
        <v>45301</v>
      </c>
      <c r="C5" s="7" t="s">
        <v>13</v>
      </c>
      <c r="D5" s="7" t="s">
        <v>14</v>
      </c>
      <c r="E5" s="7" t="s">
        <v>8</v>
      </c>
      <c r="F5" s="8">
        <v>50</v>
      </c>
    </row>
    <row r="6" spans="1:6" ht="15" thickBot="1" x14ac:dyDescent="0.35">
      <c r="A6" s="5">
        <v>1005</v>
      </c>
      <c r="B6" s="6">
        <v>45303</v>
      </c>
      <c r="C6" s="7" t="s">
        <v>6</v>
      </c>
      <c r="D6" s="7" t="s">
        <v>7</v>
      </c>
      <c r="E6" s="7" t="s">
        <v>8</v>
      </c>
      <c r="F6" s="8">
        <v>50</v>
      </c>
    </row>
    <row r="7" spans="1:6" ht="15" thickBot="1" x14ac:dyDescent="0.35">
      <c r="A7" s="5">
        <v>1006</v>
      </c>
      <c r="B7" s="6">
        <v>45306</v>
      </c>
      <c r="C7" s="7" t="s">
        <v>9</v>
      </c>
      <c r="D7" s="7" t="s">
        <v>10</v>
      </c>
      <c r="E7" s="7" t="s">
        <v>8</v>
      </c>
      <c r="F7" s="8">
        <v>50</v>
      </c>
    </row>
    <row r="8" spans="1:6" ht="15" thickBot="1" x14ac:dyDescent="0.35">
      <c r="A8" s="5">
        <v>1007</v>
      </c>
      <c r="B8" s="6">
        <v>45311</v>
      </c>
      <c r="C8" s="7" t="s">
        <v>15</v>
      </c>
      <c r="D8" s="7" t="s">
        <v>16</v>
      </c>
      <c r="E8" s="7" t="s">
        <v>17</v>
      </c>
      <c r="F8" s="8">
        <v>500</v>
      </c>
    </row>
    <row r="9" spans="1:6" ht="15" thickBot="1" x14ac:dyDescent="0.35">
      <c r="A9" s="5">
        <v>1008</v>
      </c>
      <c r="B9" s="6">
        <v>45313</v>
      </c>
      <c r="C9" s="7" t="s">
        <v>13</v>
      </c>
      <c r="D9" s="7" t="s">
        <v>14</v>
      </c>
      <c r="E9" s="7" t="s">
        <v>11</v>
      </c>
      <c r="F9" s="8">
        <v>120</v>
      </c>
    </row>
    <row r="10" spans="1:6" ht="15" thickBot="1" x14ac:dyDescent="0.35">
      <c r="A10" s="5">
        <v>1009</v>
      </c>
      <c r="B10" s="6">
        <v>45316</v>
      </c>
      <c r="C10" s="7" t="s">
        <v>18</v>
      </c>
      <c r="D10" s="7" t="s">
        <v>19</v>
      </c>
      <c r="E10" s="7" t="s">
        <v>8</v>
      </c>
      <c r="F10" s="8">
        <v>45</v>
      </c>
    </row>
    <row r="11" spans="1:6" ht="15" thickBot="1" x14ac:dyDescent="0.35">
      <c r="A11" s="5">
        <v>1010</v>
      </c>
      <c r="B11" s="6">
        <v>45332</v>
      </c>
      <c r="C11" s="7" t="s">
        <v>6</v>
      </c>
      <c r="D11" s="7" t="s">
        <v>7</v>
      </c>
      <c r="E11" s="7" t="s">
        <v>17</v>
      </c>
      <c r="F11" s="8">
        <v>500</v>
      </c>
    </row>
    <row r="12" spans="1:6" ht="15" thickBot="1" x14ac:dyDescent="0.35">
      <c r="A12" s="5">
        <v>1011</v>
      </c>
      <c r="B12" s="6">
        <v>45337</v>
      </c>
      <c r="C12" s="7" t="s">
        <v>15</v>
      </c>
      <c r="D12" s="7" t="s">
        <v>16</v>
      </c>
      <c r="E12" s="7" t="s">
        <v>8</v>
      </c>
      <c r="F12" s="8">
        <v>50</v>
      </c>
    </row>
    <row r="13" spans="1:6" ht="15" thickBot="1" x14ac:dyDescent="0.35">
      <c r="A13" s="5">
        <v>1012</v>
      </c>
      <c r="B13" s="6">
        <v>45342</v>
      </c>
      <c r="C13" s="7" t="s">
        <v>18</v>
      </c>
      <c r="D13" s="7" t="s">
        <v>19</v>
      </c>
      <c r="E13" s="7" t="s">
        <v>12</v>
      </c>
      <c r="F13" s="8">
        <v>30</v>
      </c>
    </row>
    <row r="14" spans="1:6" ht="15" thickBot="1" x14ac:dyDescent="0.35">
      <c r="A14" s="5">
        <v>1013</v>
      </c>
      <c r="B14" s="6">
        <v>45352</v>
      </c>
      <c r="C14" s="7" t="s">
        <v>13</v>
      </c>
      <c r="D14" s="7" t="s">
        <v>14</v>
      </c>
      <c r="E14" s="7" t="s">
        <v>11</v>
      </c>
      <c r="F14" s="8">
        <v>120</v>
      </c>
    </row>
    <row r="15" spans="1:6" ht="15" thickBot="1" x14ac:dyDescent="0.35">
      <c r="A15" s="5">
        <v>1014</v>
      </c>
      <c r="B15" s="6">
        <v>45356</v>
      </c>
      <c r="C15" s="7" t="s">
        <v>6</v>
      </c>
      <c r="D15" s="7" t="s">
        <v>7</v>
      </c>
      <c r="E15" s="7" t="s">
        <v>11</v>
      </c>
      <c r="F15" s="8">
        <v>120</v>
      </c>
    </row>
    <row r="16" spans="1:6" x14ac:dyDescent="0.3">
      <c r="A16" s="9">
        <v>1015</v>
      </c>
      <c r="B16" s="10">
        <v>45361</v>
      </c>
      <c r="C16" s="11" t="s">
        <v>20</v>
      </c>
      <c r="D16" s="11" t="s">
        <v>21</v>
      </c>
      <c r="E16" s="11" t="s">
        <v>8</v>
      </c>
      <c r="F16" s="12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A8EB-7827-4409-ADEC-B5BC2DE65497}">
  <dimension ref="A1:L14"/>
  <sheetViews>
    <sheetView tabSelected="1" workbookViewId="0">
      <selection activeCell="K2" sqref="K2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16.77734375" bestFit="1" customWidth="1"/>
    <col min="4" max="4" width="11" bestFit="1" customWidth="1"/>
    <col min="5" max="5" width="9.44140625" bestFit="1" customWidth="1"/>
    <col min="7" max="7" width="11" customWidth="1"/>
    <col min="8" max="8" width="10.5546875" customWidth="1"/>
    <col min="9" max="9" width="11.5546875" customWidth="1"/>
    <col min="10" max="10" width="11.109375" customWidth="1"/>
    <col min="11" max="11" width="11" bestFit="1" customWidth="1"/>
    <col min="13" max="13" width="11.44140625" bestFit="1" customWidth="1"/>
    <col min="14" max="14" width="10.21875" customWidth="1"/>
    <col min="15" max="15" width="14.6640625" customWidth="1"/>
  </cols>
  <sheetData>
    <row r="1" spans="1:12" x14ac:dyDescent="0.3">
      <c r="A1" s="14" t="s">
        <v>24</v>
      </c>
      <c r="B1" t="s">
        <v>22</v>
      </c>
      <c r="C1" t="s">
        <v>23</v>
      </c>
      <c r="D1" t="s">
        <v>26</v>
      </c>
      <c r="G1" t="s">
        <v>27</v>
      </c>
      <c r="H1" t="s">
        <v>30</v>
      </c>
      <c r="I1" t="s">
        <v>28</v>
      </c>
      <c r="J1" t="s">
        <v>29</v>
      </c>
      <c r="K1" t="s">
        <v>31</v>
      </c>
      <c r="L1" t="s">
        <v>32</v>
      </c>
    </row>
    <row r="2" spans="1:12" x14ac:dyDescent="0.3">
      <c r="A2" s="15" t="s">
        <v>7</v>
      </c>
      <c r="B2" s="13">
        <v>750</v>
      </c>
      <c r="C2" s="13">
        <v>5</v>
      </c>
      <c r="D2" s="1">
        <v>45356</v>
      </c>
      <c r="G2" t="s">
        <v>7</v>
      </c>
      <c r="H2">
        <v>750</v>
      </c>
      <c r="I2">
        <v>5</v>
      </c>
      <c r="J2" s="16">
        <v>45356</v>
      </c>
      <c r="K2" s="13">
        <f>$H$9 - J2</f>
        <v>26</v>
      </c>
      <c r="L2" t="str">
        <f xml:space="preserve"> IF(K2 &gt; 50, "At Risk",IF(I2 &gt;= 3, "VIP", "Regular"))</f>
        <v>VIP</v>
      </c>
    </row>
    <row r="3" spans="1:12" x14ac:dyDescent="0.3">
      <c r="A3" s="15" t="s">
        <v>10</v>
      </c>
      <c r="B3" s="13">
        <v>170</v>
      </c>
      <c r="C3" s="13">
        <v>2</v>
      </c>
      <c r="D3" s="1">
        <v>45306</v>
      </c>
      <c r="G3" t="s">
        <v>10</v>
      </c>
      <c r="H3">
        <v>170</v>
      </c>
      <c r="I3">
        <v>2</v>
      </c>
      <c r="J3" s="16">
        <v>45306</v>
      </c>
      <c r="K3" s="13">
        <f>$H$9 - J3</f>
        <v>76</v>
      </c>
      <c r="L3" t="str">
        <f t="shared" ref="L2:L7" si="0" xml:space="preserve"> IF(K3 &gt; 50, "At Risk",IF(I3 &gt;= 3, "VIP", "Regular"))</f>
        <v>At Risk</v>
      </c>
    </row>
    <row r="4" spans="1:12" x14ac:dyDescent="0.3">
      <c r="A4" s="15" t="s">
        <v>14</v>
      </c>
      <c r="B4" s="13">
        <v>290</v>
      </c>
      <c r="C4" s="13">
        <v>3</v>
      </c>
      <c r="D4" s="1">
        <v>45352</v>
      </c>
      <c r="G4" t="s">
        <v>14</v>
      </c>
      <c r="H4">
        <v>290</v>
      </c>
      <c r="I4">
        <v>3</v>
      </c>
      <c r="J4" s="16">
        <v>45352</v>
      </c>
      <c r="K4" s="13">
        <f>$H$9 - J4</f>
        <v>30</v>
      </c>
      <c r="L4" t="str">
        <f t="shared" si="0"/>
        <v>VIP</v>
      </c>
    </row>
    <row r="5" spans="1:12" x14ac:dyDescent="0.3">
      <c r="A5" s="15" t="s">
        <v>16</v>
      </c>
      <c r="B5" s="13">
        <v>550</v>
      </c>
      <c r="C5" s="13">
        <v>2</v>
      </c>
      <c r="D5" s="1">
        <v>45337</v>
      </c>
      <c r="G5" t="s">
        <v>16</v>
      </c>
      <c r="H5">
        <v>550</v>
      </c>
      <c r="I5">
        <v>2</v>
      </c>
      <c r="J5" s="16">
        <v>45337</v>
      </c>
      <c r="K5" s="13">
        <f>$H$9 - J5</f>
        <v>45</v>
      </c>
      <c r="L5" t="str">
        <f t="shared" si="0"/>
        <v>Regular</v>
      </c>
    </row>
    <row r="6" spans="1:12" x14ac:dyDescent="0.3">
      <c r="A6" s="15" t="s">
        <v>19</v>
      </c>
      <c r="B6" s="13">
        <v>75</v>
      </c>
      <c r="C6" s="13">
        <v>2</v>
      </c>
      <c r="D6" s="1">
        <v>45342</v>
      </c>
      <c r="G6" t="s">
        <v>19</v>
      </c>
      <c r="H6">
        <v>75</v>
      </c>
      <c r="I6">
        <v>2</v>
      </c>
      <c r="J6" s="16">
        <v>45342</v>
      </c>
      <c r="K6" s="13">
        <f>$H$9 - J6</f>
        <v>40</v>
      </c>
      <c r="L6" t="str">
        <f t="shared" si="0"/>
        <v>Regular</v>
      </c>
    </row>
    <row r="7" spans="1:12" x14ac:dyDescent="0.3">
      <c r="A7" s="15" t="s">
        <v>21</v>
      </c>
      <c r="B7" s="13">
        <v>50</v>
      </c>
      <c r="C7" s="13">
        <v>1</v>
      </c>
      <c r="D7" s="1">
        <v>45361</v>
      </c>
      <c r="G7" t="s">
        <v>21</v>
      </c>
      <c r="H7">
        <v>50</v>
      </c>
      <c r="I7">
        <v>1</v>
      </c>
      <c r="J7" s="16">
        <v>45361</v>
      </c>
      <c r="K7" s="13">
        <f>$H$9 - J7</f>
        <v>21</v>
      </c>
      <c r="L7" t="str">
        <f t="shared" si="0"/>
        <v>Regular</v>
      </c>
    </row>
    <row r="8" spans="1:12" x14ac:dyDescent="0.3">
      <c r="A8" s="15" t="s">
        <v>25</v>
      </c>
      <c r="B8" s="13">
        <v>1885</v>
      </c>
      <c r="C8" s="13">
        <v>15</v>
      </c>
      <c r="D8" s="1">
        <v>45361</v>
      </c>
    </row>
    <row r="9" spans="1:12" x14ac:dyDescent="0.3">
      <c r="G9" s="17" t="s">
        <v>1</v>
      </c>
      <c r="H9" s="18">
        <v>45382</v>
      </c>
    </row>
    <row r="11" spans="1:12" x14ac:dyDescent="0.3">
      <c r="G11" t="s">
        <v>33</v>
      </c>
      <c r="H11" t="s">
        <v>34</v>
      </c>
    </row>
    <row r="12" spans="1:12" x14ac:dyDescent="0.3">
      <c r="G12" t="s">
        <v>35</v>
      </c>
      <c r="H12">
        <f>SUMIF(L:L, "At Risk",H:H)</f>
        <v>170</v>
      </c>
    </row>
    <row r="13" spans="1:12" x14ac:dyDescent="0.3">
      <c r="G13" t="s">
        <v>36</v>
      </c>
      <c r="H13">
        <f>SUMIF(L:L, "VIP",H:H)</f>
        <v>1040</v>
      </c>
    </row>
    <row r="14" spans="1:12" x14ac:dyDescent="0.3">
      <c r="G14" t="s">
        <v>37</v>
      </c>
      <c r="H14">
        <f>SUMIF(L:L, "Regular",H:H)</f>
        <v>675</v>
      </c>
    </row>
  </sheetData>
  <conditionalFormatting sqref="L2:L7">
    <cfRule type="cellIs" dxfId="2" priority="1" operator="equal">
      <formula>"Regular"</formula>
    </cfRule>
    <cfRule type="cellIs" dxfId="1" priority="2" operator="equal">
      <formula>"VIP"</formula>
    </cfRule>
    <cfRule type="cellIs" dxfId="0" priority="3" operator="equal">
      <formula>"At Risk"</formula>
    </cfRule>
  </conditionalFormatting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Foaie1</vt:lpstr>
      <vt:lpstr>Foaie2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Alex-Daniel Nucă</dc:creator>
  <cp:lastModifiedBy>Alex-Daniel Nucă</cp:lastModifiedBy>
  <dcterms:created xsi:type="dcterms:W3CDTF">2026-02-02T09:57:07Z</dcterms:created>
  <dcterms:modified xsi:type="dcterms:W3CDTF">2026-02-02T11:49:52Z</dcterms:modified>
</cp:coreProperties>
</file>