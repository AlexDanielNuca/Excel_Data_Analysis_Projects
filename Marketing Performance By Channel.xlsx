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ca\Desktop\Data_Portofolio\"/>
    </mc:Choice>
  </mc:AlternateContent>
  <xr:revisionPtr revIDLastSave="0" documentId="8_{4F23ACAE-F861-42FF-AB8F-0447C9ABCD26}" xr6:coauthVersionLast="47" xr6:coauthVersionMax="47" xr10:uidLastSave="{00000000-0000-0000-0000-000000000000}"/>
  <bookViews>
    <workbookView xWindow="11424" yWindow="0" windowWidth="11712" windowHeight="12336" firstSheet="1" activeTab="2" xr2:uid="{90E1C9B4-CE01-42D6-BC5D-12BA500918B8}"/>
  </bookViews>
  <sheets>
    <sheet name="Marketing Data" sheetId="1" r:id="rId1"/>
    <sheet name="Pivot Table" sheetId="2" r:id="rId2"/>
    <sheet name="Dashboard" sheetId="3" r:id="rId3"/>
  </sheets>
  <definedNames>
    <definedName name="Slicer_Campaign">#N/A</definedName>
  </definedNames>
  <calcPr calcId="191029"/>
  <pivotCaches>
    <pivotCache cacheId="9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J2" i="1"/>
  <c r="J3" i="1"/>
  <c r="J4" i="1"/>
  <c r="J5" i="1"/>
  <c r="J6" i="1"/>
  <c r="J7" i="1"/>
  <c r="J8" i="1"/>
  <c r="J9" i="1"/>
  <c r="J10" i="1"/>
  <c r="J11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<sst xmlns="http://schemas.openxmlformats.org/spreadsheetml/2006/main" count="41" uniqueCount="29">
  <si>
    <t>Date</t>
  </si>
  <si>
    <t>Channel</t>
  </si>
  <si>
    <t>Campaign</t>
  </si>
  <si>
    <t>Ad_Spend</t>
  </si>
  <si>
    <t>Impressions</t>
  </si>
  <si>
    <t>Clicks</t>
  </si>
  <si>
    <t>Conversions</t>
  </si>
  <si>
    <t>Revenue</t>
  </si>
  <si>
    <t>Facebook</t>
  </si>
  <si>
    <t>Brand Awareness</t>
  </si>
  <si>
    <t>Google</t>
  </si>
  <si>
    <t>Search Terms</t>
  </si>
  <si>
    <t>Email</t>
  </si>
  <si>
    <t>Newsletter</t>
  </si>
  <si>
    <t>Retargeting</t>
  </si>
  <si>
    <t>Display Ads</t>
  </si>
  <si>
    <t>Instagram</t>
  </si>
  <si>
    <t>Influencer A</t>
  </si>
  <si>
    <t>Promo Blast</t>
  </si>
  <si>
    <t>YouTube</t>
  </si>
  <si>
    <t>Video Ad</t>
  </si>
  <si>
    <t>CTR</t>
  </si>
  <si>
    <t>CPC</t>
  </si>
  <si>
    <t>ROAS</t>
  </si>
  <si>
    <t>Etichete de rânduri</t>
  </si>
  <si>
    <t>Total general</t>
  </si>
  <si>
    <t>Sumă de Ad_Spend</t>
  </si>
  <si>
    <t>Sumă de Revenue</t>
  </si>
  <si>
    <t>Sumă de True Roas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</si>
</sst>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9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16" fontId="2" fillId="0" borderId="3" xfId="0" applyNumberFormat="1" applyFont="1" applyBorder="1" applyAlignment="1">
      <alignment horizontal="right" wrapText="1"/>
    </xf>
    <xf numFmtId="44" fontId="2" fillId="0" borderId="4" xfId="1" applyFont="1" applyBorder="1" applyAlignment="1">
      <alignment horizontal="right" wrapText="1"/>
    </xf>
    <xf numFmtId="44" fontId="2" fillId="0" borderId="1" xfId="1" applyFont="1" applyBorder="1" applyAlignment="1">
      <alignment horizontal="right" wrapText="1"/>
    </xf>
    <xf numFmtId="44" fontId="2" fillId="0" borderId="5" xfId="1" applyFont="1" applyBorder="1" applyAlignment="1">
      <alignment horizontal="right" wrapText="1"/>
    </xf>
    <xf numFmtId="9" fontId="0" fillId="0" borderId="0" xfId="2" applyFont="1"/>
    <xf numFmtId="2" fontId="2" fillId="0" borderId="4" xfId="1" applyNumberFormat="1" applyFont="1" applyBorder="1" applyAlignment="1">
      <alignment horizontal="right" wrapText="1"/>
    </xf>
    <xf numFmtId="2" fontId="2" fillId="0" borderId="1" xfId="1" applyNumberFormat="1" applyFont="1" applyBorder="1" applyAlignment="1">
      <alignment horizontal="right" wrapText="1"/>
    </xf>
    <xf numFmtId="2" fontId="2" fillId="0" borderId="5" xfId="1" applyNumberFormat="1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</cellXfs>
  <cellStyles count="3">
    <cellStyle name="Monedă" xfId="1" builtinId="4"/>
    <cellStyle name="Normal" xfId="0" builtinId="0"/>
    <cellStyle name="Procent" xfId="2" builtinId="5"/>
  </cellStyles>
  <dxfs count="102"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169" formatCode="0.0"/>
    </dxf>
    <dxf>
      <numFmt numFmtId="2" formatCode="0.00"/>
    </dxf>
    <dxf>
      <numFmt numFmtId="2" formatCode="0.00"/>
    </dxf>
    <dxf>
      <numFmt numFmtId="2" formatCode="0.00"/>
    </dxf>
    <dxf>
      <numFmt numFmtId="168" formatCode="0.000"/>
    </dxf>
    <dxf>
      <numFmt numFmtId="2" formatCode="0.00"/>
    </dxf>
    <dxf>
      <numFmt numFmtId="167" formatCode="0.0000"/>
    </dxf>
    <dxf>
      <numFmt numFmtId="166" formatCode="0.00000"/>
    </dxf>
    <dxf>
      <numFmt numFmtId="165" formatCode="0.000000"/>
    </dxf>
    <dxf>
      <numFmt numFmtId="164" formatCode="0.0000000"/>
    </dxf>
    <dxf>
      <numFmt numFmtId="170" formatCode="0.00000000"/>
    </dxf>
    <dxf>
      <numFmt numFmtId="169" formatCode="0.0"/>
    </dxf>
    <dxf>
      <numFmt numFmtId="2" formatCode="0.00"/>
    </dxf>
    <dxf>
      <numFmt numFmtId="169" formatCode="0.0"/>
    </dxf>
    <dxf>
      <numFmt numFmtId="2" formatCode="0.00"/>
    </dxf>
    <dxf>
      <numFmt numFmtId="2" formatCode="0.00"/>
    </dxf>
    <dxf>
      <numFmt numFmtId="168" formatCode="0.000"/>
    </dxf>
    <dxf>
      <numFmt numFmtId="167" formatCode="0.0000"/>
    </dxf>
    <dxf>
      <numFmt numFmtId="166" formatCode="0.00000"/>
    </dxf>
    <dxf>
      <numFmt numFmtId="165" formatCode="0.000000"/>
    </dxf>
    <dxf>
      <numFmt numFmtId="164" formatCode="0.0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1" formatCode="d\-mmm"/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Performance By Channel.xlsx]Pivot Table!PivotTable2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</a:t>
            </a:r>
            <a:r>
              <a:rPr lang="en-US" baseline="0"/>
              <a:t> Performance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Sumă de Ad_Spend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Table'!$A$2:$A$7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YouTube</c:v>
                </c:pt>
              </c:strCache>
            </c:strRef>
          </c:cat>
          <c:val>
            <c:numRef>
              <c:f>'Pivot Table'!$B$2:$B$7</c:f>
              <c:numCache>
                <c:formatCode>General</c:formatCode>
                <c:ptCount val="5"/>
                <c:pt idx="0">
                  <c:v>70</c:v>
                </c:pt>
                <c:pt idx="1">
                  <c:v>1650</c:v>
                </c:pt>
                <c:pt idx="2">
                  <c:v>2050</c:v>
                </c:pt>
                <c:pt idx="3">
                  <c:v>1000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6-417D-AA7B-2BC98372FDA7}"/>
            </c:ext>
          </c:extLst>
        </c:ser>
        <c:ser>
          <c:idx val="1"/>
          <c:order val="1"/>
          <c:tx>
            <c:strRef>
              <c:f>'Pivot Table'!$C$1</c:f>
              <c:strCache>
                <c:ptCount val="1"/>
                <c:pt idx="0">
                  <c:v>Sumă de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Table'!$A$2:$A$7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YouTube</c:v>
                </c:pt>
              </c:strCache>
            </c:strRef>
          </c:cat>
          <c:val>
            <c:numRef>
              <c:f>'Pivot Table'!$C$2:$C$7</c:f>
              <c:numCache>
                <c:formatCode>General</c:formatCode>
                <c:ptCount val="5"/>
                <c:pt idx="0">
                  <c:v>1000</c:v>
                </c:pt>
                <c:pt idx="1">
                  <c:v>5500</c:v>
                </c:pt>
                <c:pt idx="2">
                  <c:v>9900</c:v>
                </c:pt>
                <c:pt idx="3">
                  <c:v>6000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06-417D-AA7B-2BC98372F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226783"/>
        <c:axId val="740234463"/>
      </c:barChart>
      <c:lineChart>
        <c:grouping val="standard"/>
        <c:varyColors val="0"/>
        <c:ser>
          <c:idx val="2"/>
          <c:order val="2"/>
          <c:tx>
            <c:strRef>
              <c:f>'Pivot Table'!$D$1</c:f>
              <c:strCache>
                <c:ptCount val="1"/>
                <c:pt idx="0">
                  <c:v>Sumă de True Roas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Table'!$A$2:$A$7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YouTube</c:v>
                </c:pt>
              </c:strCache>
            </c:strRef>
          </c:cat>
          <c:val>
            <c:numRef>
              <c:f>'Pivot Table'!$D$2:$D$7</c:f>
              <c:numCache>
                <c:formatCode>0.0</c:formatCode>
                <c:ptCount val="5"/>
                <c:pt idx="0">
                  <c:v>14.285714285714286</c:v>
                </c:pt>
                <c:pt idx="1">
                  <c:v>3.3333333333333335</c:v>
                </c:pt>
                <c:pt idx="2">
                  <c:v>4.8292682926829267</c:v>
                </c:pt>
                <c:pt idx="3">
                  <c:v>6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06-417D-AA7B-2BC98372F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27743"/>
        <c:axId val="740224383"/>
      </c:lineChart>
      <c:catAx>
        <c:axId val="74022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34463"/>
        <c:crosses val="autoZero"/>
        <c:auto val="1"/>
        <c:lblAlgn val="ctr"/>
        <c:lblOffset val="100"/>
        <c:noMultiLvlLbl val="0"/>
      </c:catAx>
      <c:valAx>
        <c:axId val="74023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26783"/>
        <c:crosses val="autoZero"/>
        <c:crossBetween val="between"/>
      </c:valAx>
      <c:valAx>
        <c:axId val="74022438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27743"/>
        <c:crosses val="max"/>
        <c:crossBetween val="between"/>
      </c:valAx>
      <c:catAx>
        <c:axId val="7402277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224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7</xdr:col>
      <xdr:colOff>304800</xdr:colOff>
      <xdr:row>15</xdr:row>
      <xdr:rowOff>22860</xdr:rowOff>
    </xdr:to>
    <xdr:graphicFrame macro="">
      <xdr:nvGraphicFramePr>
        <xdr:cNvPr id="10" name="Diagramă 9">
          <a:extLst>
            <a:ext uri="{FF2B5EF4-FFF2-40B4-BE49-F238E27FC236}">
              <a16:creationId xmlns:a16="http://schemas.microsoft.com/office/drawing/2014/main" id="{0B4C1EA2-BA8D-4E0A-B3EB-B33A87EE2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297180</xdr:colOff>
      <xdr:row>0</xdr:row>
      <xdr:rowOff>0</xdr:rowOff>
    </xdr:from>
    <xdr:to>
      <xdr:col>10</xdr:col>
      <xdr:colOff>297180</xdr:colOff>
      <xdr:row>15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Campaign 1">
              <a:extLst>
                <a:ext uri="{FF2B5EF4-FFF2-40B4-BE49-F238E27FC236}">
                  <a16:creationId xmlns:a16="http://schemas.microsoft.com/office/drawing/2014/main" id="{7D53F951-955C-4CA6-B23E-0089F3BA0D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aig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4380" y="0"/>
              <a:ext cx="1828800" cy="2781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ca" refreshedDate="46055.47391296296" createdVersion="8" refreshedVersion="8" minRefreshableVersion="3" recordCount="10" xr:uid="{3D286584-5486-4D89-BA5D-6C247A99824B}">
  <cacheSource type="worksheet">
    <worksheetSource name="Tabel5"/>
  </cacheSource>
  <cacheFields count="12">
    <cacheField name="Date" numFmtId="16">
      <sharedItems containsSemiMixedTypes="0" containsNonDate="0" containsDate="1" containsString="0" minDate="2026-01-01T00:00:00" maxDate="2026-01-11T00:00:00"/>
    </cacheField>
    <cacheField name="Channel" numFmtId="0">
      <sharedItems count="5">
        <s v="Facebook"/>
        <s v="Google"/>
        <s v="Email"/>
        <s v="Instagram"/>
        <s v="YouTube"/>
      </sharedItems>
    </cacheField>
    <cacheField name="Campaign" numFmtId="0">
      <sharedItems count="8">
        <s v="Brand Awareness"/>
        <s v="Search Terms"/>
        <s v="Newsletter"/>
        <s v="Retargeting"/>
        <s v="Display Ads"/>
        <s v="Influencer A"/>
        <s v="Promo Blast"/>
        <s v="Video Ad"/>
      </sharedItems>
    </cacheField>
    <cacheField name="Ad_Spend" numFmtId="0">
      <sharedItems containsSemiMixedTypes="0" containsString="0" containsNumber="1" containsInteger="1" minValue="20" maxValue="2000"/>
    </cacheField>
    <cacheField name="Impressions" numFmtId="0">
      <sharedItems containsSemiMixedTypes="0" containsString="0" containsNumber="1" containsInteger="1" minValue="1800" maxValue="100000"/>
    </cacheField>
    <cacheField name="Clicks" numFmtId="0">
      <sharedItems containsSemiMixedTypes="0" containsString="0" containsNumber="1" containsInteger="1" minValue="150" maxValue="1200"/>
    </cacheField>
    <cacheField name="Conversions" numFmtId="0">
      <sharedItems containsSemiMixedTypes="0" containsString="0" containsNumber="1" containsInteger="1" minValue="5" maxValue="80"/>
    </cacheField>
    <cacheField name="Revenue" numFmtId="0">
      <sharedItems containsSemiMixedTypes="0" containsString="0" containsNumber="1" containsInteger="1" minValue="200" maxValue="6000"/>
    </cacheField>
    <cacheField name="CTR" numFmtId="9">
      <sharedItems containsSemiMixedTypes="0" containsString="0" containsNumber="1" minValue="8.0000000000000002E-3" maxValue="0.15"/>
    </cacheField>
    <cacheField name="CPC" numFmtId="44">
      <sharedItems containsSemiMixedTypes="0" containsString="0" containsNumber="1" minValue="0.13333333333333333" maxValue="2.5"/>
    </cacheField>
    <cacheField name="ROAS" numFmtId="2">
      <sharedItems containsSemiMixedTypes="0" containsString="0" containsNumber="1" minValue="0.25" maxValue="16"/>
    </cacheField>
    <cacheField name="True Roas" numFmtId="0" formula="Revenue  /Ad_Spend" databaseField="0"/>
  </cacheFields>
  <extLst>
    <ext xmlns:x14="http://schemas.microsoft.com/office/spreadsheetml/2009/9/main" uri="{725AE2AE-9491-48be-B2B4-4EB974FC3084}">
      <x14:pivotCacheDefinition pivotCacheId="12154941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1-01T00:00:00"/>
    <x v="0"/>
    <x v="0"/>
    <n v="500"/>
    <n v="25000"/>
    <n v="450"/>
    <n v="20"/>
    <n v="1200"/>
    <n v="1.7999999999999999E-2"/>
    <n v="1.1111111111111112"/>
    <n v="2.4"/>
  </r>
  <r>
    <d v="2026-01-02T00:00:00"/>
    <x v="1"/>
    <x v="1"/>
    <n v="800"/>
    <n v="12000"/>
    <n v="600"/>
    <n v="50"/>
    <n v="4500"/>
    <n v="0.05"/>
    <n v="1.3333333333333333"/>
    <n v="5.625"/>
  </r>
  <r>
    <d v="2026-01-03T00:00:00"/>
    <x v="2"/>
    <x v="2"/>
    <n v="50"/>
    <n v="2000"/>
    <n v="300"/>
    <n v="15"/>
    <n v="800"/>
    <n v="0.15"/>
    <n v="0.16666666666666666"/>
    <n v="16"/>
  </r>
  <r>
    <d v="2026-01-04T00:00:00"/>
    <x v="0"/>
    <x v="3"/>
    <n v="600"/>
    <n v="15000"/>
    <n v="500"/>
    <n v="40"/>
    <n v="3000"/>
    <n v="3.3333333333333333E-2"/>
    <n v="1.2"/>
    <n v="5"/>
  </r>
  <r>
    <d v="2026-01-05T00:00:00"/>
    <x v="1"/>
    <x v="4"/>
    <n v="400"/>
    <n v="30000"/>
    <n v="300"/>
    <n v="10"/>
    <n v="600"/>
    <n v="0.01"/>
    <n v="1.3333333333333333"/>
    <n v="1.5"/>
  </r>
  <r>
    <d v="2026-01-06T00:00:00"/>
    <x v="3"/>
    <x v="5"/>
    <n v="1000"/>
    <n v="50000"/>
    <n v="1200"/>
    <n v="80"/>
    <n v="6000"/>
    <n v="2.4E-2"/>
    <n v="0.83333333333333337"/>
    <n v="6"/>
  </r>
  <r>
    <d v="2026-01-07T00:00:00"/>
    <x v="2"/>
    <x v="6"/>
    <n v="20"/>
    <n v="1800"/>
    <n v="150"/>
    <n v="5"/>
    <n v="200"/>
    <n v="8.3333333333333329E-2"/>
    <n v="0.13333333333333333"/>
    <n v="10"/>
  </r>
  <r>
    <d v="2026-01-08T00:00:00"/>
    <x v="0"/>
    <x v="0"/>
    <n v="550"/>
    <n v="26000"/>
    <n v="480"/>
    <n v="22"/>
    <n v="1300"/>
    <n v="1.8461538461538463E-2"/>
    <n v="1.1458333333333333"/>
    <n v="2.3636363636363638"/>
  </r>
  <r>
    <d v="2026-01-09T00:00:00"/>
    <x v="1"/>
    <x v="1"/>
    <n v="850"/>
    <n v="13000"/>
    <n v="650"/>
    <n v="55"/>
    <n v="4800"/>
    <n v="0.05"/>
    <n v="1.3076923076923077"/>
    <n v="5.6470588235294121"/>
  </r>
  <r>
    <d v="2026-01-10T00:00:00"/>
    <x v="4"/>
    <x v="7"/>
    <n v="2000"/>
    <n v="100000"/>
    <n v="800"/>
    <n v="10"/>
    <n v="500"/>
    <n v="8.0000000000000002E-3"/>
    <n v="2.5"/>
    <n v="0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EBDAB-5CF5-4589-865D-599D993078AA}" name="PivotTable2" cacheId="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0">
  <location ref="A1:D7" firstHeaderRow="0" firstDataRow="1" firstDataCol="1"/>
  <pivotFields count="12">
    <pivotField numFmtId="16"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>
      <items count="9">
        <item x="0"/>
        <item x="4"/>
        <item x="5"/>
        <item x="2"/>
        <item x="6"/>
        <item x="3"/>
        <item x="1"/>
        <item x="7"/>
        <item t="default"/>
      </items>
    </pivotField>
    <pivotField dataField="1" showAll="0"/>
    <pivotField showAll="0"/>
    <pivotField showAll="0"/>
    <pivotField showAll="0"/>
    <pivotField dataField="1" showAll="0"/>
    <pivotField numFmtId="9" showAll="0"/>
    <pivotField numFmtId="44" showAll="0"/>
    <pivotField numFmtId="2" showAll="0"/>
    <pivotField dataField="1"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ă de Ad_Spend" fld="3" baseField="0" baseItem="0"/>
    <dataField name="Sumă de Revenue" fld="7" baseField="0" baseItem="0"/>
    <dataField name="Sumă de True Roas" fld="11" baseField="0" baseItem="0" numFmtId="169"/>
  </dataFields>
  <formats count="4">
    <format dxfId="82">
      <pivotArea collapsedLevelsAreSubtotals="1" fieldPosition="0">
        <references count="2">
          <reference field="4294967294" count="1" selected="0">
            <x v="2"/>
          </reference>
          <reference field="1" count="3">
            <x v="0"/>
            <x v="1"/>
            <x v="2"/>
          </reference>
        </references>
      </pivotArea>
    </format>
    <format dxfId="80">
      <pivotArea collapsedLevelsAreSubtotals="1" fieldPosition="0">
        <references count="2">
          <reference field="4294967294" count="1" selected="0">
            <x v="2"/>
          </reference>
          <reference field="1" count="1">
            <x v="3"/>
          </reference>
        </references>
      </pivotArea>
    </format>
    <format dxfId="73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mpaign" xr10:uid="{7857DA5E-53A9-4F4D-BD71-238981A67E7B}" sourceName="Campaign">
  <pivotTables>
    <pivotTable tabId="2" name="PivotTable2"/>
  </pivotTables>
  <data>
    <tabular pivotCacheId="1215494184">
      <items count="8">
        <i x="0" s="1"/>
        <i x="4" s="1"/>
        <i x="5" s="1"/>
        <i x="2" s="1"/>
        <i x="6" s="1"/>
        <i x="3" s="1"/>
        <i x="1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mpaign 1" xr10:uid="{66062C1A-F0B7-4F03-8DF3-E4553BE3D249}" cache="Slicer_Campaign" caption="Campaign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C3CE15-2E8A-4C69-8B31-9DB181A882EE}" name="Tabel5" displayName="Tabel5" ref="A1:K11" totalsRowShown="0" headerRowDxfId="101" dataDxfId="100" tableBorderDxfId="99">
  <autoFilter ref="A1:K11" xr:uid="{FEC3CE15-2E8A-4C69-8B31-9DB181A882EE}"/>
  <tableColumns count="11">
    <tableColumn id="1" xr3:uid="{F1455311-73CF-413D-B34B-1EA4069D8B0E}" name="Date" dataDxfId="98"/>
    <tableColumn id="2" xr3:uid="{60E92A2F-73EC-48BE-BE6B-B255EC18C5B1}" name="Channel" dataDxfId="97"/>
    <tableColumn id="3" xr3:uid="{8E730CE4-DAC4-442F-A7AE-227D4F503A0A}" name="Campaign" dataDxfId="96"/>
    <tableColumn id="4" xr3:uid="{5F364129-4C27-4F72-AAEC-10ACDF1A6419}" name="Ad_Spend" dataDxfId="95"/>
    <tableColumn id="5" xr3:uid="{EEDD337A-C85B-4E65-8E39-88B2F700537A}" name="Impressions" dataDxfId="94"/>
    <tableColumn id="6" xr3:uid="{2791EF98-6F3C-42BF-A02D-C82FC5987A3F}" name="Clicks" dataDxfId="93"/>
    <tableColumn id="7" xr3:uid="{018F5E0E-3E7A-4FA5-B134-8BBFB00B8359}" name="Conversions" dataDxfId="92"/>
    <tableColumn id="8" xr3:uid="{E59F66C3-9459-49F1-B60C-50FF022B2D6B}" name="Revenue" dataDxfId="91"/>
    <tableColumn id="9" xr3:uid="{7D7F494E-DEAA-4B91-96EF-2480E1B8287B}" name="CTR" dataCellStyle="Procent">
      <calculatedColumnFormula>F2/E2</calculatedColumnFormula>
    </tableColumn>
    <tableColumn id="10" xr3:uid="{942201AE-6063-4CE9-B94D-4F859DF6B487}" name="CPC" dataDxfId="90" dataCellStyle="Monedă">
      <calculatedColumnFormula>Tabel5[[#This Row],[Ad_Spend]]/Tabel5[[#This Row],[Clicks]]</calculatedColumnFormula>
    </tableColumn>
    <tableColumn id="11" xr3:uid="{F7FBFC3D-B45C-4EEB-AF57-025DFB66C11B}" name="ROAS" dataDxfId="89" dataCellStyle="Monedă">
      <calculatedColumnFormula>Tabel5[[#This Row],[Revenue]]/Tabel5[[#This Row],[Ad_Spend]]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C51F-1961-45CE-82F9-D335CF47EA41}">
  <dimension ref="A1:K11"/>
  <sheetViews>
    <sheetView workbookViewId="0">
      <selection activeCell="K17" sqref="K17"/>
    </sheetView>
  </sheetViews>
  <sheetFormatPr defaultRowHeight="14.4" x14ac:dyDescent="0.3"/>
  <cols>
    <col min="2" max="2" width="10" customWidth="1"/>
    <col min="3" max="3" width="11.5546875" customWidth="1"/>
    <col min="4" max="4" width="11.77734375" customWidth="1"/>
    <col min="5" max="5" width="13.44140625" customWidth="1"/>
    <col min="7" max="7" width="13.88671875" customWidth="1"/>
    <col min="8" max="8" width="10.44140625" customWidth="1"/>
    <col min="10" max="10" width="11.5546875" bestFit="1" customWidth="1"/>
  </cols>
  <sheetData>
    <row r="1" spans="1:11" ht="15" thickBot="1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21</v>
      </c>
      <c r="J1" s="3" t="s">
        <v>22</v>
      </c>
      <c r="K1" s="3" t="s">
        <v>23</v>
      </c>
    </row>
    <row r="2" spans="1:11" ht="27.6" thickBot="1" x14ac:dyDescent="0.35">
      <c r="A2" s="5">
        <v>46023</v>
      </c>
      <c r="B2" s="1" t="s">
        <v>8</v>
      </c>
      <c r="C2" s="1" t="s">
        <v>9</v>
      </c>
      <c r="D2" s="2">
        <v>500</v>
      </c>
      <c r="E2" s="2">
        <v>25000</v>
      </c>
      <c r="F2" s="2">
        <v>450</v>
      </c>
      <c r="G2" s="2">
        <v>20</v>
      </c>
      <c r="H2" s="2">
        <v>1200</v>
      </c>
      <c r="I2" s="9">
        <f>F2/E2</f>
        <v>1.7999999999999999E-2</v>
      </c>
      <c r="J2" s="6">
        <f>Tabel5[[#This Row],[Ad_Spend]]/Tabel5[[#This Row],[Clicks]]</f>
        <v>1.1111111111111112</v>
      </c>
      <c r="K2" s="10">
        <f>Tabel5[[#This Row],[Revenue]]/Tabel5[[#This Row],[Ad_Spend]]</f>
        <v>2.4</v>
      </c>
    </row>
    <row r="3" spans="1:11" ht="27.6" thickBot="1" x14ac:dyDescent="0.35">
      <c r="A3" s="5">
        <v>46024</v>
      </c>
      <c r="B3" s="1" t="s">
        <v>10</v>
      </c>
      <c r="C3" s="1" t="s">
        <v>11</v>
      </c>
      <c r="D3" s="2">
        <v>800</v>
      </c>
      <c r="E3" s="2">
        <v>12000</v>
      </c>
      <c r="F3" s="2">
        <v>600</v>
      </c>
      <c r="G3" s="2">
        <v>50</v>
      </c>
      <c r="H3" s="2">
        <v>4500</v>
      </c>
      <c r="I3" s="9">
        <f t="shared" ref="I3:I11" si="0">F3/E3</f>
        <v>0.05</v>
      </c>
      <c r="J3" s="7">
        <f>Tabel5[[#This Row],[Ad_Spend]]/Tabel5[[#This Row],[Clicks]]</f>
        <v>1.3333333333333333</v>
      </c>
      <c r="K3" s="11">
        <f>Tabel5[[#This Row],[Revenue]]/Tabel5[[#This Row],[Ad_Spend]]</f>
        <v>5.625</v>
      </c>
    </row>
    <row r="4" spans="1:11" ht="15" thickBot="1" x14ac:dyDescent="0.35">
      <c r="A4" s="5">
        <v>46025</v>
      </c>
      <c r="B4" s="1" t="s">
        <v>12</v>
      </c>
      <c r="C4" s="1" t="s">
        <v>13</v>
      </c>
      <c r="D4" s="2">
        <v>50</v>
      </c>
      <c r="E4" s="2">
        <v>2000</v>
      </c>
      <c r="F4" s="2">
        <v>300</v>
      </c>
      <c r="G4" s="2">
        <v>15</v>
      </c>
      <c r="H4" s="2">
        <v>800</v>
      </c>
      <c r="I4" s="9">
        <f t="shared" si="0"/>
        <v>0.15</v>
      </c>
      <c r="J4" s="7">
        <f>Tabel5[[#This Row],[Ad_Spend]]/Tabel5[[#This Row],[Clicks]]</f>
        <v>0.16666666666666666</v>
      </c>
      <c r="K4" s="11">
        <f>Tabel5[[#This Row],[Revenue]]/Tabel5[[#This Row],[Ad_Spend]]</f>
        <v>16</v>
      </c>
    </row>
    <row r="5" spans="1:11" ht="15" thickBot="1" x14ac:dyDescent="0.35">
      <c r="A5" s="5">
        <v>46026</v>
      </c>
      <c r="B5" s="1" t="s">
        <v>8</v>
      </c>
      <c r="C5" s="1" t="s">
        <v>14</v>
      </c>
      <c r="D5" s="2">
        <v>600</v>
      </c>
      <c r="E5" s="2">
        <v>15000</v>
      </c>
      <c r="F5" s="2">
        <v>500</v>
      </c>
      <c r="G5" s="2">
        <v>40</v>
      </c>
      <c r="H5" s="2">
        <v>3000</v>
      </c>
      <c r="I5" s="9">
        <f t="shared" si="0"/>
        <v>3.3333333333333333E-2</v>
      </c>
      <c r="J5" s="7">
        <f>Tabel5[[#This Row],[Ad_Spend]]/Tabel5[[#This Row],[Clicks]]</f>
        <v>1.2</v>
      </c>
      <c r="K5" s="11">
        <f>Tabel5[[#This Row],[Revenue]]/Tabel5[[#This Row],[Ad_Spend]]</f>
        <v>5</v>
      </c>
    </row>
    <row r="6" spans="1:11" ht="15" thickBot="1" x14ac:dyDescent="0.35">
      <c r="A6" s="5">
        <v>46027</v>
      </c>
      <c r="B6" s="1" t="s">
        <v>10</v>
      </c>
      <c r="C6" s="1" t="s">
        <v>15</v>
      </c>
      <c r="D6" s="2">
        <v>400</v>
      </c>
      <c r="E6" s="2">
        <v>30000</v>
      </c>
      <c r="F6" s="2">
        <v>300</v>
      </c>
      <c r="G6" s="2">
        <v>10</v>
      </c>
      <c r="H6" s="2">
        <v>600</v>
      </c>
      <c r="I6" s="9">
        <f t="shared" si="0"/>
        <v>0.01</v>
      </c>
      <c r="J6" s="7">
        <f>Tabel5[[#This Row],[Ad_Spend]]/Tabel5[[#This Row],[Clicks]]</f>
        <v>1.3333333333333333</v>
      </c>
      <c r="K6" s="11">
        <f>Tabel5[[#This Row],[Revenue]]/Tabel5[[#This Row],[Ad_Spend]]</f>
        <v>1.5</v>
      </c>
    </row>
    <row r="7" spans="1:11" ht="15" thickBot="1" x14ac:dyDescent="0.35">
      <c r="A7" s="5">
        <v>46028</v>
      </c>
      <c r="B7" s="1" t="s">
        <v>16</v>
      </c>
      <c r="C7" s="1" t="s">
        <v>17</v>
      </c>
      <c r="D7" s="2">
        <v>1000</v>
      </c>
      <c r="E7" s="2">
        <v>50000</v>
      </c>
      <c r="F7" s="2">
        <v>1200</v>
      </c>
      <c r="G7" s="2">
        <v>80</v>
      </c>
      <c r="H7" s="2">
        <v>6000</v>
      </c>
      <c r="I7" s="9">
        <f t="shared" si="0"/>
        <v>2.4E-2</v>
      </c>
      <c r="J7" s="7">
        <f>Tabel5[[#This Row],[Ad_Spend]]/Tabel5[[#This Row],[Clicks]]</f>
        <v>0.83333333333333337</v>
      </c>
      <c r="K7" s="11">
        <f>Tabel5[[#This Row],[Revenue]]/Tabel5[[#This Row],[Ad_Spend]]</f>
        <v>6</v>
      </c>
    </row>
    <row r="8" spans="1:11" ht="15" thickBot="1" x14ac:dyDescent="0.35">
      <c r="A8" s="5">
        <v>46029</v>
      </c>
      <c r="B8" s="1" t="s">
        <v>12</v>
      </c>
      <c r="C8" s="1" t="s">
        <v>18</v>
      </c>
      <c r="D8" s="2">
        <v>20</v>
      </c>
      <c r="E8" s="2">
        <v>1800</v>
      </c>
      <c r="F8" s="2">
        <v>150</v>
      </c>
      <c r="G8" s="2">
        <v>5</v>
      </c>
      <c r="H8" s="2">
        <v>200</v>
      </c>
      <c r="I8" s="9">
        <f t="shared" si="0"/>
        <v>8.3333333333333329E-2</v>
      </c>
      <c r="J8" s="7">
        <f>Tabel5[[#This Row],[Ad_Spend]]/Tabel5[[#This Row],[Clicks]]</f>
        <v>0.13333333333333333</v>
      </c>
      <c r="K8" s="11">
        <f>Tabel5[[#This Row],[Revenue]]/Tabel5[[#This Row],[Ad_Spend]]</f>
        <v>10</v>
      </c>
    </row>
    <row r="9" spans="1:11" ht="27.6" thickBot="1" x14ac:dyDescent="0.35">
      <c r="A9" s="5">
        <v>46030</v>
      </c>
      <c r="B9" s="1" t="s">
        <v>8</v>
      </c>
      <c r="C9" s="1" t="s">
        <v>9</v>
      </c>
      <c r="D9" s="2">
        <v>550</v>
      </c>
      <c r="E9" s="2">
        <v>26000</v>
      </c>
      <c r="F9" s="2">
        <v>480</v>
      </c>
      <c r="G9" s="2">
        <v>22</v>
      </c>
      <c r="H9" s="2">
        <v>1300</v>
      </c>
      <c r="I9" s="9">
        <f t="shared" si="0"/>
        <v>1.8461538461538463E-2</v>
      </c>
      <c r="J9" s="7">
        <f>Tabel5[[#This Row],[Ad_Spend]]/Tabel5[[#This Row],[Clicks]]</f>
        <v>1.1458333333333333</v>
      </c>
      <c r="K9" s="11">
        <f>Tabel5[[#This Row],[Revenue]]/Tabel5[[#This Row],[Ad_Spend]]</f>
        <v>2.3636363636363638</v>
      </c>
    </row>
    <row r="10" spans="1:11" ht="27.6" thickBot="1" x14ac:dyDescent="0.35">
      <c r="A10" s="5">
        <v>46031</v>
      </c>
      <c r="B10" s="1" t="s">
        <v>10</v>
      </c>
      <c r="C10" s="1" t="s">
        <v>11</v>
      </c>
      <c r="D10" s="2">
        <v>850</v>
      </c>
      <c r="E10" s="2">
        <v>13000</v>
      </c>
      <c r="F10" s="2">
        <v>650</v>
      </c>
      <c r="G10" s="2">
        <v>55</v>
      </c>
      <c r="H10" s="2">
        <v>4800</v>
      </c>
      <c r="I10" s="9">
        <f t="shared" si="0"/>
        <v>0.05</v>
      </c>
      <c r="J10" s="7">
        <f>Tabel5[[#This Row],[Ad_Spend]]/Tabel5[[#This Row],[Clicks]]</f>
        <v>1.3076923076923077</v>
      </c>
      <c r="K10" s="11">
        <f>Tabel5[[#This Row],[Revenue]]/Tabel5[[#This Row],[Ad_Spend]]</f>
        <v>5.6470588235294121</v>
      </c>
    </row>
    <row r="11" spans="1:11" ht="15" thickBot="1" x14ac:dyDescent="0.35">
      <c r="A11" s="5">
        <v>46032</v>
      </c>
      <c r="B11" s="1" t="s">
        <v>19</v>
      </c>
      <c r="C11" s="1" t="s">
        <v>20</v>
      </c>
      <c r="D11" s="2">
        <v>2000</v>
      </c>
      <c r="E11" s="2">
        <v>100000</v>
      </c>
      <c r="F11" s="2">
        <v>800</v>
      </c>
      <c r="G11" s="2">
        <v>10</v>
      </c>
      <c r="H11" s="2">
        <v>500</v>
      </c>
      <c r="I11" s="9">
        <f t="shared" si="0"/>
        <v>8.0000000000000002E-3</v>
      </c>
      <c r="J11" s="8">
        <f>Tabel5[[#This Row],[Ad_Spend]]/Tabel5[[#This Row],[Clicks]]</f>
        <v>2.5</v>
      </c>
      <c r="K11" s="12">
        <f>Tabel5[[#This Row],[Revenue]]/Tabel5[[#This Row],[Ad_Spend]]</f>
        <v>0.25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0AEB-3572-4DC4-A6EB-6B64DB997FED}">
  <dimension ref="A1:D7"/>
  <sheetViews>
    <sheetView workbookViewId="0">
      <selection activeCell="E3" sqref="E3"/>
    </sheetView>
  </sheetViews>
  <sheetFormatPr defaultRowHeight="14.4" x14ac:dyDescent="0.3"/>
  <cols>
    <col min="1" max="1" width="19" bestFit="1" customWidth="1"/>
    <col min="2" max="2" width="17" bestFit="1" customWidth="1"/>
    <col min="3" max="3" width="15.6640625" bestFit="1" customWidth="1"/>
    <col min="4" max="5" width="16.5546875" bestFit="1" customWidth="1"/>
  </cols>
  <sheetData>
    <row r="1" spans="1:4" x14ac:dyDescent="0.3">
      <c r="A1" s="13" t="s">
        <v>24</v>
      </c>
      <c r="B1" t="s">
        <v>26</v>
      </c>
      <c r="C1" t="s">
        <v>27</v>
      </c>
      <c r="D1" t="s">
        <v>28</v>
      </c>
    </row>
    <row r="2" spans="1:4" x14ac:dyDescent="0.3">
      <c r="A2" s="14" t="s">
        <v>12</v>
      </c>
      <c r="B2" s="15">
        <v>70</v>
      </c>
      <c r="C2" s="15">
        <v>1000</v>
      </c>
      <c r="D2" s="16">
        <v>14.285714285714286</v>
      </c>
    </row>
    <row r="3" spans="1:4" x14ac:dyDescent="0.3">
      <c r="A3" s="14" t="s">
        <v>8</v>
      </c>
      <c r="B3" s="15">
        <v>1650</v>
      </c>
      <c r="C3" s="15">
        <v>5500</v>
      </c>
      <c r="D3" s="16">
        <v>3.3333333333333335</v>
      </c>
    </row>
    <row r="4" spans="1:4" x14ac:dyDescent="0.3">
      <c r="A4" s="14" t="s">
        <v>10</v>
      </c>
      <c r="B4" s="15">
        <v>2050</v>
      </c>
      <c r="C4" s="15">
        <v>9900</v>
      </c>
      <c r="D4" s="16">
        <v>4.8292682926829267</v>
      </c>
    </row>
    <row r="5" spans="1:4" x14ac:dyDescent="0.3">
      <c r="A5" s="14" t="s">
        <v>16</v>
      </c>
      <c r="B5" s="15">
        <v>1000</v>
      </c>
      <c r="C5" s="15">
        <v>6000</v>
      </c>
      <c r="D5" s="16">
        <v>6</v>
      </c>
    </row>
    <row r="6" spans="1:4" x14ac:dyDescent="0.3">
      <c r="A6" s="14" t="s">
        <v>19</v>
      </c>
      <c r="B6" s="15">
        <v>2000</v>
      </c>
      <c r="C6" s="15">
        <v>500</v>
      </c>
      <c r="D6" s="16">
        <v>0.25</v>
      </c>
    </row>
    <row r="7" spans="1:4" x14ac:dyDescent="0.3">
      <c r="A7" s="14" t="s">
        <v>25</v>
      </c>
      <c r="B7" s="15">
        <v>6770</v>
      </c>
      <c r="C7" s="15">
        <v>22900</v>
      </c>
      <c r="D7" s="16">
        <v>3.3825701624815361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24A6-53B3-47CF-A8D2-1EB31B33A381}">
  <dimension ref="A1"/>
  <sheetViews>
    <sheetView showGridLines="0" showRowColHeaders="0" tabSelected="1" workbookViewId="0">
      <selection activeCell="F21" sqref="F21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Marketing 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Alex-Daniel Nucă</dc:creator>
  <cp:lastModifiedBy>Alex-Daniel Nucă</cp:lastModifiedBy>
  <dcterms:created xsi:type="dcterms:W3CDTF">2026-02-01T19:03:37Z</dcterms:created>
  <dcterms:modified xsi:type="dcterms:W3CDTF">2026-02-02T09:54:42Z</dcterms:modified>
</cp:coreProperties>
</file>